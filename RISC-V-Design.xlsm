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4.xml" ContentType="application/vnd.openxmlformats-officedocument.drawing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drawings/drawing5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W:\workspaces\RISC-V\RISC-VFundametalMaterials\"/>
    </mc:Choice>
  </mc:AlternateContent>
  <xr:revisionPtr revIDLastSave="0" documentId="13_ncr:1_{A905AB86-76B7-4F21-AC0E-47754BD9DE51}" xr6:coauthVersionLast="47" xr6:coauthVersionMax="47" xr10:uidLastSave="{00000000-0000-0000-0000-000000000000}"/>
  <bookViews>
    <workbookView xWindow="-120" yWindow="-120" windowWidth="24240" windowHeight="13140" firstSheet="2" activeTab="2" xr2:uid="{C18B773F-FABB-47E2-A8F8-5CF4C9766B40}"/>
  </bookViews>
  <sheets>
    <sheet name="Green Sheet" sheetId="4" r:id="rId1"/>
    <sheet name="RAM" sheetId="8" r:id="rId2"/>
    <sheet name="ASM 2 MachineCode" sheetId="1" r:id="rId3"/>
    <sheet name="DataPath &amp; Decoder" sheetId="5" r:id="rId4"/>
    <sheet name="GPIO Pín" sheetId="7" r:id="rId5"/>
    <sheet name="Interrupts" sheetId="6" r:id="rId6"/>
    <sheet name="network" sheetId="2" r:id="rId7"/>
    <sheet name="game map location code" sheetId="3" r:id="rId8"/>
  </sheets>
  <functionGroups builtInGroupCount="19"/>
  <definedNames>
    <definedName name="_xleta.BITOR" hidden="1" xlm="1">#NAME?</definedName>
    <definedName name="_xleta.CHOOSEROWS" hidden="1" xlm="1">#NAME?</definedName>
    <definedName name="_xleta.CONCAT" hidden="1" xlm="1">#NAME?</definedName>
    <definedName name="_xleta.DEC2HEX" hidden="1" xlm="1">#NAME?</definedName>
    <definedName name="_xleta.HEX2BIN" hidden="1" xlm="1">#NAME?</definedName>
    <definedName name="_xleta.IF" hidden="1" xlm="1">#NAME?</definedName>
    <definedName name="_xleta.INDIRECT" hidden="1" xlm="1">#NAME?</definedName>
    <definedName name="_xleta.NA" hidden="1" xlm="1">#NAME?</definedName>
    <definedName name="_xleta.OR" hidden="1" xlm="1">#NAME?</definedName>
    <definedName name="_xleta.RIGHT" hidden="1" xlm="1">#NAME?</definedName>
    <definedName name="_xleta.SHEET" hidden="1" xlm="1">#NAME?</definedName>
    <definedName name="_xleta.T" hidden="1" xlm="1">#NAME?</definedName>
    <definedName name="asm_des">'ASM 2 MachineCode'!$R$4</definedName>
    <definedName name="asm_imm">'ASM 2 MachineCode'!$V$4</definedName>
    <definedName name="asm_operator">'ASM 2 MachineCode'!$O$4</definedName>
    <definedName name="asm_src">'ASM 2 MachineCode'!$T$4</definedName>
    <definedName name="COL_FUNCT3">'Green Sheet'!$K$1</definedName>
    <definedName name="COL_FUNCT7">'Green Sheet'!$J$1</definedName>
    <definedName name="COL_OPCODE">'Green Sheet'!$I$1</definedName>
    <definedName name="funct3">'DataPath &amp; Decoder'!$CC$29</definedName>
    <definedName name="IsBtype">'DataPath &amp; Decoder'!$BB$10</definedName>
    <definedName name="IsItype">'DataPath &amp; Decoder'!$BB$6</definedName>
    <definedName name="IsJtype">'DataPath &amp; Decoder'!$BB$11</definedName>
    <definedName name="IsLoadIns">'DataPath &amp; Decoder'!$BB$5</definedName>
    <definedName name="IsRBtype">'DataPath &amp; Decoder'!$AZ$38</definedName>
    <definedName name="IsRtype">'DataPath &amp; Decoder'!$BB$9</definedName>
    <definedName name="IsStype">'DataPath &amp; Decoder'!$BB$7</definedName>
    <definedName name="IsUtype">'DataPath &amp; Decoder'!$BB$8</definedName>
    <definedName name="operator">'ASM 2 MachineCode'!$O$4</definedName>
    <definedName name="rd">'ASM 2 MachineCode'!$R$4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5" i="7" l="1"/>
  <c r="AI7" i="7"/>
  <c r="AZ10" i="7" s="1"/>
  <c r="AO16" i="7"/>
  <c r="AN7" i="7"/>
  <c r="BT67" i="5"/>
  <c r="BB5" i="5"/>
  <c r="CM16" i="5" s="1"/>
  <c r="CK19" i="5" s="1"/>
  <c r="BO16" i="5" s="1"/>
  <c r="BB8" i="5"/>
  <c r="BC8" i="5" s="1"/>
  <c r="M92" i="5" a="1"/>
  <c r="M92" i="5" s="1"/>
  <c r="U84" i="5" a="1"/>
  <c r="U84" i="5" s="1"/>
  <c r="U76" i="5"/>
  <c r="V76" i="5" a="1"/>
  <c r="V76" i="5" s="1"/>
  <c r="M76" i="5" a="1"/>
  <c r="M76" i="5" s="1"/>
  <c r="L76" i="5"/>
  <c r="I92" i="5" s="1"/>
  <c r="AB68" i="5" a="1"/>
  <c r="AB68" i="5" s="1"/>
  <c r="V68" i="5" a="1"/>
  <c r="V68" i="5" s="1"/>
  <c r="U68" i="5"/>
  <c r="T68" i="5"/>
  <c r="B68" i="5" s="1"/>
  <c r="U60" i="5" a="1"/>
  <c r="U60" i="5" s="1"/>
  <c r="R84" i="5" s="1"/>
  <c r="AB60" i="5" a="1"/>
  <c r="AB60" i="5" s="1"/>
  <c r="BB11" i="5"/>
  <c r="BC11" i="5" s="1"/>
  <c r="BB10" i="5"/>
  <c r="BC10" i="5" s="1"/>
  <c r="BB9" i="5"/>
  <c r="CF47" i="5" s="1"/>
  <c r="BB7" i="5"/>
  <c r="BC7" i="5" s="1"/>
  <c r="CN24" i="5" s="1"/>
  <c r="BB6" i="5"/>
  <c r="BC6" i="5" s="1"/>
  <c r="AN5" i="5"/>
  <c r="P17" i="5"/>
  <c r="P16" i="5" s="1" a="1"/>
  <c r="P16" i="5" s="1"/>
  <c r="U17" i="5"/>
  <c r="U16" i="5" s="1" a="1"/>
  <c r="U16" i="5" s="1"/>
  <c r="AC17" i="5"/>
  <c r="AD31" i="5" s="1"/>
  <c r="AS12" i="5"/>
  <c r="CC29" i="5"/>
  <c r="BY36" i="5" s="1"/>
  <c r="AO13" i="5"/>
  <c r="BF13" i="5"/>
  <c r="Y13" i="5"/>
  <c r="Z13" i="5"/>
  <c r="X13" i="5"/>
  <c r="BV29" i="5"/>
  <c r="BT52" i="5"/>
  <c r="BT48" i="5"/>
  <c r="BT38" i="5"/>
  <c r="BT34" i="5"/>
  <c r="AX12" i="5"/>
  <c r="AS11" i="5"/>
  <c r="AX11" i="5" s="1"/>
  <c r="AS10" i="5"/>
  <c r="AX10" i="5" s="1"/>
  <c r="AS9" i="5"/>
  <c r="AX9" i="5" s="1"/>
  <c r="AS8" i="5"/>
  <c r="AX8" i="5" s="1"/>
  <c r="G3" i="5" a="1"/>
  <c r="G3" i="5" s="1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H86" i="1"/>
  <c r="AB86" i="1"/>
  <c r="AB87" i="1" s="1"/>
  <c r="AB88" i="1" s="1" a="1"/>
  <c r="AB88" i="1" s="1"/>
  <c r="AG86" i="1"/>
  <c r="Y86" i="1"/>
  <c r="T86" i="1"/>
  <c r="T87" i="1" s="1"/>
  <c r="T88" i="1" s="1" a="1"/>
  <c r="O86" i="1"/>
  <c r="O87" i="1" s="1"/>
  <c r="O88" i="1" s="1" a="1"/>
  <c r="H84" i="1" a="1"/>
  <c r="H84" i="1" s="1"/>
  <c r="T71" i="1"/>
  <c r="O71" i="1"/>
  <c r="AB4" i="1" a="1"/>
  <c r="AB67" i="1" a="1"/>
  <c r="AG16" i="5" l="1"/>
  <c r="AH25" i="5"/>
  <c r="CQ26" i="5"/>
  <c r="AZ38" i="5"/>
  <c r="BD40" i="5"/>
  <c r="F92" i="5"/>
  <c r="B76" i="5"/>
  <c r="O84" i="5"/>
  <c r="C84" i="5"/>
  <c r="S84" i="5"/>
  <c r="J92" i="5"/>
  <c r="J76" i="5"/>
  <c r="G84" i="5"/>
  <c r="F76" i="5"/>
  <c r="K84" i="5"/>
  <c r="B92" i="5"/>
  <c r="M68" i="5"/>
  <c r="I76" i="5"/>
  <c r="E76" i="5"/>
  <c r="A76" i="5"/>
  <c r="P68" i="5"/>
  <c r="L68" i="5"/>
  <c r="H68" i="5"/>
  <c r="D68" i="5"/>
  <c r="T60" i="5"/>
  <c r="D84" i="5"/>
  <c r="H84" i="5"/>
  <c r="L84" i="5"/>
  <c r="P84" i="5"/>
  <c r="T84" i="5"/>
  <c r="C92" i="5"/>
  <c r="G92" i="5"/>
  <c r="K92" i="5"/>
  <c r="Q68" i="5"/>
  <c r="I68" i="5"/>
  <c r="E68" i="5"/>
  <c r="H76" i="5"/>
  <c r="D76" i="5"/>
  <c r="S68" i="5"/>
  <c r="O68" i="5"/>
  <c r="K68" i="5"/>
  <c r="G68" i="5"/>
  <c r="C68" i="5"/>
  <c r="A84" i="5"/>
  <c r="E84" i="5"/>
  <c r="I84" i="5"/>
  <c r="M84" i="5"/>
  <c r="Q84" i="5"/>
  <c r="D92" i="5"/>
  <c r="H92" i="5"/>
  <c r="L92" i="5"/>
  <c r="A68" i="5"/>
  <c r="K76" i="5"/>
  <c r="G76" i="5"/>
  <c r="C76" i="5"/>
  <c r="R68" i="5"/>
  <c r="N68" i="5"/>
  <c r="J68" i="5"/>
  <c r="F68" i="5"/>
  <c r="B84" i="5"/>
  <c r="F84" i="5"/>
  <c r="J84" i="5"/>
  <c r="N84" i="5"/>
  <c r="A92" i="5"/>
  <c r="E92" i="5"/>
  <c r="G60" i="5"/>
  <c r="O60" i="5"/>
  <c r="K60" i="5"/>
  <c r="C60" i="5"/>
  <c r="R60" i="5"/>
  <c r="N60" i="5"/>
  <c r="J60" i="5"/>
  <c r="F60" i="5"/>
  <c r="B60" i="5"/>
  <c r="Q60" i="5"/>
  <c r="M60" i="5"/>
  <c r="I60" i="5"/>
  <c r="E60" i="5"/>
  <c r="A60" i="5"/>
  <c r="P60" i="5"/>
  <c r="L60" i="5"/>
  <c r="H60" i="5"/>
  <c r="D60" i="5"/>
  <c r="S60" i="5"/>
  <c r="CQ24" i="5"/>
  <c r="CH29" i="5"/>
  <c r="AT25" i="5"/>
  <c r="AT29" i="5"/>
  <c r="AT33" i="5"/>
  <c r="AT37" i="5"/>
  <c r="AT41" i="5"/>
  <c r="AT45" i="5"/>
  <c r="AT49" i="5"/>
  <c r="AT53" i="5"/>
  <c r="AT26" i="5"/>
  <c r="AT30" i="5"/>
  <c r="AT34" i="5"/>
  <c r="AT38" i="5"/>
  <c r="AT42" i="5"/>
  <c r="AT46" i="5"/>
  <c r="AT50" i="5"/>
  <c r="AT54" i="5"/>
  <c r="AT27" i="5"/>
  <c r="AT31" i="5"/>
  <c r="AT35" i="5"/>
  <c r="AT39" i="5"/>
  <c r="AT43" i="5"/>
  <c r="AT47" i="5"/>
  <c r="AT51" i="5"/>
  <c r="AT55" i="5"/>
  <c r="AT28" i="5"/>
  <c r="AT32" i="5"/>
  <c r="AT36" i="5"/>
  <c r="AT40" i="5"/>
  <c r="AT44" i="5"/>
  <c r="AT48" i="5"/>
  <c r="AT52" i="5"/>
  <c r="AT24" i="5"/>
  <c r="AJ3" i="1"/>
  <c r="AF3" i="1"/>
  <c r="BV26" i="5"/>
  <c r="BY61" i="5"/>
  <c r="BY56" i="5"/>
  <c r="AS14" i="5"/>
  <c r="BY50" i="5"/>
  <c r="BY43" i="5"/>
  <c r="AD29" i="5"/>
  <c r="AD27" i="5"/>
  <c r="AC16" i="5" a="1"/>
  <c r="AC16" i="5" s="1"/>
  <c r="AH29" i="5"/>
  <c r="AV38" i="5"/>
  <c r="P29" i="5"/>
  <c r="AX35" i="5"/>
  <c r="AH27" i="5"/>
  <c r="U27" i="5"/>
  <c r="BI35" i="5" a="1"/>
  <c r="BI35" i="5" s="1"/>
  <c r="BQ66" i="5" s="1"/>
  <c r="AB4" i="1"/>
  <c r="AB3" i="1" s="1"/>
  <c r="T88" i="1"/>
  <c r="T89" i="1" s="1"/>
  <c r="P89" i="1"/>
  <c r="O88" i="1"/>
  <c r="AB67" i="1"/>
  <c r="AF73" i="1"/>
  <c r="AB71" i="1"/>
  <c r="H71" i="1"/>
  <c r="AG71" i="1"/>
  <c r="Y71" i="1"/>
  <c r="T72" i="1"/>
  <c r="T73" i="1" s="1" a="1"/>
  <c r="O72" i="1"/>
  <c r="O73" i="1" s="1" a="1"/>
  <c r="H69" i="1" a="1"/>
  <c r="H69" i="1" s="1"/>
  <c r="H20" i="1"/>
  <c r="AL16" i="1"/>
  <c r="AG16" i="1"/>
  <c r="AG20" i="1"/>
  <c r="AB20" i="1"/>
  <c r="AB21" i="1" s="1"/>
  <c r="AB22" i="1" s="1" a="1"/>
  <c r="H18" i="1" a="1"/>
  <c r="H18" i="1" s="1"/>
  <c r="AD16" i="1"/>
  <c r="AD32" i="1"/>
  <c r="H37" i="1"/>
  <c r="AB37" i="1"/>
  <c r="AB38" i="1" s="1"/>
  <c r="AG37" i="1"/>
  <c r="H35" i="1" a="1"/>
  <c r="H35" i="1" s="1"/>
  <c r="B34" i="1"/>
  <c r="H52" i="1" a="1"/>
  <c r="H52" i="1" s="1"/>
  <c r="H5" i="1" a="1"/>
  <c r="H5" i="1" s="1"/>
  <c r="AH92" i="5" a="1"/>
  <c r="AH84" i="5" a="1"/>
  <c r="AH76" i="5" a="1"/>
  <c r="AH68" i="5" a="1"/>
  <c r="AH61" i="5" a="1"/>
  <c r="H30" i="1" a="1"/>
  <c r="S33" i="1" a="1"/>
  <c r="AA49" i="1" a="1"/>
  <c r="H9" i="1" a="1"/>
  <c r="T17" i="1" a="1"/>
  <c r="H47" i="1" a="1"/>
  <c r="S39" i="1" l="1"/>
  <c r="I39" i="1" a="1"/>
  <c r="I39" i="1" s="1"/>
  <c r="T39" i="1" a="1"/>
  <c r="T39" i="1" s="1"/>
  <c r="AB39" i="1" a="1"/>
  <c r="AB39" i="1" s="1"/>
  <c r="AB40" i="1" s="1"/>
  <c r="AH84" i="5"/>
  <c r="AH92" i="5"/>
  <c r="AH76" i="5"/>
  <c r="AX59" i="5" s="1"/>
  <c r="BD45" i="5" s="1"/>
  <c r="BF38" i="5" s="1" a="1"/>
  <c r="BF38" i="5" s="1"/>
  <c r="AH68" i="5"/>
  <c r="AH61" i="5"/>
  <c r="BQ60" i="5"/>
  <c r="BA9" i="5"/>
  <c r="BC9" i="5"/>
  <c r="CC26" i="5" s="1"/>
  <c r="BQ51" i="5"/>
  <c r="BQ47" i="5"/>
  <c r="AH31" i="5"/>
  <c r="BQ33" i="5"/>
  <c r="BQ42" i="5"/>
  <c r="BQ37" i="5"/>
  <c r="BQ55" i="5"/>
  <c r="AB89" i="1"/>
  <c r="H73" i="1"/>
  <c r="AD73" i="1"/>
  <c r="K73" i="1"/>
  <c r="AE73" i="1"/>
  <c r="AC73" i="1"/>
  <c r="N73" i="1"/>
  <c r="J73" i="1"/>
  <c r="AJ66" i="1"/>
  <c r="AB66" i="1"/>
  <c r="AB73" i="1"/>
  <c r="M73" i="1"/>
  <c r="I73" i="1"/>
  <c r="AF66" i="1"/>
  <c r="L73" i="1"/>
  <c r="T73" i="1"/>
  <c r="T74" i="1" s="1"/>
  <c r="P74" i="1"/>
  <c r="O73" i="1"/>
  <c r="T17" i="1"/>
  <c r="H22" i="1" s="1" a="1"/>
  <c r="H22" i="1" s="1"/>
  <c r="AB22" i="1"/>
  <c r="AB23" i="1" s="1"/>
  <c r="S33" i="1"/>
  <c r="H30" i="1"/>
  <c r="AA49" i="1"/>
  <c r="H47" i="1"/>
  <c r="H9" i="1"/>
  <c r="C31" i="1" a="1"/>
  <c r="D32" i="1" a="1"/>
  <c r="D49" i="1" a="1"/>
  <c r="BQ68" i="5" l="1"/>
  <c r="BR67" i="5" s="1"/>
  <c r="CH67" i="5" s="1"/>
  <c r="CI47" i="5" s="1"/>
  <c r="BQ39" i="5"/>
  <c r="BQ62" i="5"/>
  <c r="BR61" i="5" s="1"/>
  <c r="L74" i="1"/>
  <c r="AB74" i="1"/>
  <c r="H74" i="1"/>
  <c r="P40" i="1"/>
  <c r="T23" i="1"/>
  <c r="H23" i="1"/>
  <c r="X23" i="1"/>
  <c r="L23" i="1"/>
  <c r="P23" i="1"/>
  <c r="D32" i="1"/>
  <c r="X40" i="1"/>
  <c r="H39" i="1"/>
  <c r="H40" i="1" s="1"/>
  <c r="T40" i="1"/>
  <c r="L40" i="1"/>
  <c r="C31" i="1"/>
  <c r="AJ32" i="1" s="1"/>
  <c r="D49" i="1"/>
  <c r="B51" i="1"/>
  <c r="C48" i="1" a="1"/>
  <c r="BQ53" i="5" l="1"/>
  <c r="BQ44" i="5"/>
  <c r="BR43" i="5" s="1"/>
  <c r="BQ35" i="5"/>
  <c r="BR34" i="5" s="1"/>
  <c r="BS31" i="5" s="1"/>
  <c r="BR38" i="5"/>
  <c r="BQ57" i="5"/>
  <c r="BR56" i="5" s="1"/>
  <c r="BQ49" i="5"/>
  <c r="CO22" i="5"/>
  <c r="C33" i="1"/>
  <c r="C34" i="1" s="1"/>
  <c r="C48" i="1"/>
  <c r="C50" i="1" s="1"/>
  <c r="Y54" i="1"/>
  <c r="H54" i="1"/>
  <c r="AG54" i="1"/>
  <c r="AB54" i="1"/>
  <c r="T54" i="1"/>
  <c r="O54" i="1"/>
  <c r="O55" i="1" s="1"/>
  <c r="O56" i="1" s="1" a="1"/>
  <c r="O56" i="1" s="1"/>
  <c r="BR52" i="5" a="1"/>
  <c r="BR48" i="5" a="1"/>
  <c r="H34" i="1" a="1"/>
  <c r="BV36" i="5" l="1"/>
  <c r="BR48" i="5"/>
  <c r="BR52" i="5"/>
  <c r="BV50" i="5" s="1"/>
  <c r="CC47" i="5" s="1"/>
  <c r="H34" i="1"/>
  <c r="C51" i="1"/>
  <c r="AF56" i="1"/>
  <c r="J56" i="1"/>
  <c r="AE56" i="1"/>
  <c r="AB56" i="1"/>
  <c r="M56" i="1"/>
  <c r="AD56" i="1"/>
  <c r="K56" i="1"/>
  <c r="N56" i="1"/>
  <c r="I56" i="1"/>
  <c r="T55" i="1"/>
  <c r="T56" i="1" s="1" a="1"/>
  <c r="T56" i="1" s="1"/>
  <c r="U3" i="4" a="1"/>
  <c r="U3" i="4" s="1"/>
  <c r="S3" i="4" a="1"/>
  <c r="S3" i="4" s="1"/>
  <c r="R3" i="4" a="1"/>
  <c r="R3" i="4" s="1"/>
  <c r="P3" i="4" a="1"/>
  <c r="P3" i="4" s="1"/>
  <c r="T3" i="4" a="1"/>
  <c r="T3" i="4" s="1"/>
  <c r="Q3" i="4" a="1"/>
  <c r="Q3" i="4" s="1"/>
  <c r="H51" i="1" a="1"/>
  <c r="CN20" i="5" l="1"/>
  <c r="H51" i="1"/>
  <c r="H56" i="1"/>
  <c r="AA48" i="1"/>
  <c r="AB48" i="1"/>
  <c r="AF48" i="1"/>
  <c r="AJ48" i="1"/>
  <c r="L56" i="1"/>
  <c r="L57" i="1" s="1"/>
  <c r="AC56" i="1"/>
  <c r="AB57" i="1" s="1"/>
  <c r="P57" i="1"/>
  <c r="H57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Y72" i="1" s="1"/>
  <c r="Y73" i="1" s="1" a="1"/>
  <c r="Y73" i="1" s="1"/>
  <c r="X74" i="1" s="1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AG21" i="1" s="1"/>
  <c r="AG22" i="1" s="1" a="1"/>
  <c r="AG22" i="1" s="1"/>
  <c r="I32" i="4"/>
  <c r="I33" i="4"/>
  <c r="I34" i="4"/>
  <c r="I35" i="4"/>
  <c r="I36" i="4"/>
  <c r="I37" i="4"/>
  <c r="I38" i="4"/>
  <c r="I39" i="4"/>
  <c r="AG38" i="1" s="1"/>
  <c r="AG39" i="1" s="1" a="1"/>
  <c r="AG39" i="1" s="1"/>
  <c r="I40" i="4"/>
  <c r="I41" i="4"/>
  <c r="I42" i="4"/>
  <c r="I43" i="4"/>
  <c r="I44" i="4"/>
  <c r="I45" i="4"/>
  <c r="I46" i="4"/>
  <c r="I47" i="4"/>
  <c r="I48" i="4"/>
  <c r="I49" i="4"/>
  <c r="I50" i="4"/>
  <c r="I51" i="4"/>
  <c r="Y55" i="1" l="1"/>
  <c r="Y56" i="1" s="1" a="1"/>
  <c r="Y56" i="1" s="1"/>
  <c r="AG72" i="1"/>
  <c r="AG73" i="1" s="1" a="1"/>
  <c r="AG73" i="1" s="1"/>
  <c r="AF74" i="1" s="1"/>
  <c r="H87" i="1" a="1"/>
  <c r="H87" i="1" s="1"/>
  <c r="H88" i="1" s="1" a="1"/>
  <c r="H88" i="1" s="1"/>
  <c r="Y87" i="1"/>
  <c r="Y88" i="1" s="1" a="1"/>
  <c r="Y88" i="1" s="1"/>
  <c r="X89" i="1" s="1"/>
  <c r="AG55" i="1"/>
  <c r="AG56" i="1" s="1" a="1"/>
  <c r="AG56" i="1" s="1"/>
  <c r="AF57" i="1" s="1"/>
  <c r="AG87" i="1"/>
  <c r="AG88" i="1" s="1" a="1"/>
  <c r="AG88" i="1" s="1"/>
  <c r="AF89" i="1" s="1"/>
  <c r="AF40" i="1"/>
  <c r="AJ40" i="1"/>
  <c r="AJ23" i="1"/>
  <c r="AF23" i="1"/>
  <c r="T57" i="1"/>
  <c r="X57" i="1"/>
  <c r="AJ57" i="1"/>
  <c r="Y7" i="1"/>
  <c r="Y8" i="1" s="1"/>
  <c r="Y9" i="1" s="1" a="1"/>
  <c r="Y9" i="1" s="1"/>
  <c r="AJ74" i="1" l="1"/>
  <c r="L89" i="1"/>
  <c r="AJ89" i="1"/>
  <c r="H89" i="1"/>
  <c r="AG7" i="1"/>
  <c r="AG8" i="1" s="1"/>
  <c r="AG9" i="1" s="1" a="1"/>
  <c r="AG9" i="1" s="1"/>
  <c r="T7" i="1"/>
  <c r="T8" i="1" s="1"/>
  <c r="T9" i="1" s="1" a="1"/>
  <c r="T9" i="1" s="1"/>
  <c r="AB7" i="1"/>
  <c r="AB8" i="1" s="1"/>
  <c r="AB9" i="1" s="1" a="1"/>
  <c r="AB9" i="1" s="1"/>
  <c r="H7" i="1"/>
  <c r="H8" i="1" s="1"/>
  <c r="G4" i="3"/>
  <c r="G6" i="3" s="1"/>
  <c r="C3" i="2" a="1"/>
  <c r="C3" i="2" s="1"/>
  <c r="G3" i="2" s="1"/>
  <c r="C5" i="2" a="1"/>
  <c r="C5" i="2" s="1"/>
  <c r="G5" i="2" s="1"/>
  <c r="C4" i="2" a="1"/>
  <c r="C4" i="2" s="1"/>
  <c r="G4" i="2" s="1"/>
  <c r="K3" i="2" a="1"/>
  <c r="K5" i="2" a="1"/>
  <c r="K4" i="2" a="1"/>
  <c r="J3" i="2" l="1"/>
  <c r="J5" i="2"/>
  <c r="I3" i="2"/>
  <c r="J4" i="2"/>
  <c r="H3" i="2"/>
  <c r="I4" i="2"/>
  <c r="I5" i="2"/>
  <c r="H4" i="2"/>
  <c r="H5" i="2"/>
  <c r="K3" i="2"/>
  <c r="K5" i="2"/>
  <c r="K4" i="2"/>
  <c r="M4" i="2" a="1"/>
  <c r="M3" i="2" a="1"/>
  <c r="M5" i="2" a="1"/>
  <c r="L3" i="2" a="1"/>
  <c r="N3" i="2" a="1"/>
  <c r="N5" i="2" a="1"/>
  <c r="N4" i="2" a="1"/>
  <c r="L5" i="2" a="1"/>
  <c r="L4" i="2" a="1"/>
  <c r="O5" i="2" l="1"/>
  <c r="O4" i="2"/>
  <c r="H10" i="1"/>
  <c r="AF10" i="1"/>
  <c r="X10" i="1"/>
  <c r="AJ10" i="1"/>
  <c r="P10" i="1"/>
  <c r="L10" i="1"/>
  <c r="T10" i="1"/>
  <c r="AB10" i="1"/>
  <c r="N4" i="2"/>
  <c r="M3" i="2"/>
  <c r="N5" i="2"/>
  <c r="L3" i="2"/>
  <c r="N3" i="2"/>
  <c r="L5" i="2"/>
  <c r="L4" i="2"/>
  <c r="M5" i="2"/>
  <c r="M4" i="2"/>
  <c r="Q5" i="2" l="1"/>
  <c r="R5" i="2"/>
  <c r="P4" i="2"/>
  <c r="P5" i="2"/>
  <c r="Q4" i="2"/>
  <c r="R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tc={9198ECBD-678F-432C-92F8-9718C205B842}</author>
    <author>tc={69C14207-E377-4261-B3FB-8D20B1D52083}</author>
    <author>tc={0937F6A1-B596-46C2-B233-918904433524}</author>
    <author>tc={36832EF2-528E-47A8-8180-3A5791D5C35A}</author>
    <author>tc={EE7F0B5C-798E-4B8B-81A7-9396751C7BD4}</author>
    <author>tc={AEB1F313-58E6-44DA-A422-7CCD6DAD3893}</author>
    <author>tc={107DCB09-9769-44D1-BD60-6C184BFE2955}</author>
    <author>tc={73854207-23F7-41BA-8534-B4384FB666DB}</author>
    <author>tc={B9C9A698-470D-4E2E-B1CE-8F40F91BAC54}</author>
    <author>tc={F0E8C72D-DFED-403B-A5C6-9E9E8DFA418E}</author>
    <author>tc={7B301A01-1225-457E-AAB3-F03D2845D6B4}</author>
    <author>tc={47EE75B6-E12A-44AB-9946-737C2CD55ECD}</author>
    <author>tc={BCD939F0-123F-4DEE-9D31-CD0744948F3B}</author>
    <author>tc={AED09461-1538-4A9F-A073-D1F6644BCD0A}</author>
  </authors>
  <commentList>
    <comment ref="C30" authorId="0" shapeId="0" xr:uid="{9198ECBD-678F-432C-92F8-9718C205B842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30" authorId="1" shapeId="0" xr:uid="{69C14207-E377-4261-B3FB-8D20B1D5208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
Viết ở hệ 2</t>
      </text>
    </comment>
    <comment ref="C31" authorId="2" shapeId="0" xr:uid="{0937F6A1-B596-46C2-B233-91890443352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</t>
      </text>
    </comment>
    <comment ref="D32" authorId="3" shapeId="0" xr:uid="{36832EF2-528E-47A8-8180-3A5791D5C35A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33" authorId="4" shapeId="0" xr:uid="{EE7F0B5C-798E-4B8B-81A7-9396751C7BD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10</t>
      </text>
    </comment>
    <comment ref="C34" authorId="5" shapeId="0" xr:uid="{AEB1F313-58E6-44DA-A422-7CCD6DAD389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16</t>
      </text>
    </comment>
    <comment ref="AM34" authorId="6" shapeId="0" xr:uid="{107DCB09-9769-44D1-BD60-6C184BFE29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nơ nhảy đến
Viết ở hệ 2
</t>
      </text>
    </comment>
    <comment ref="C47" authorId="7" shapeId="0" xr:uid="{73854207-23F7-41BA-8534-B4384FB66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47" authorId="8" shapeId="0" xr:uid="{B9C9A698-470D-4E2E-B1CE-8F40F91BAC5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2
</t>
      </text>
    </comment>
    <comment ref="C48" authorId="9" shapeId="0" xr:uid="{F0E8C72D-DFED-403B-A5C6-9E9E8DFA418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
</t>
      </text>
    </comment>
    <comment ref="D49" authorId="10" shapeId="0" xr:uid="{7B301A01-1225-457E-AAB3-F03D2845D6B4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50" authorId="11" shapeId="0" xr:uid="{47EE75B6-E12A-44AB-9946-737C2CD55ECD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10</t>
      </text>
    </comment>
    <comment ref="C51" authorId="12" shapeId="0" xr:uid="{BCD939F0-123F-4DEE-9D31-CD0744948F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16
</t>
      </text>
    </comment>
    <comment ref="AM51" authorId="13" shapeId="0" xr:uid="{AED09461-1538-4A9F-A073-D1F6644BC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2
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<sst xmlns="http://schemas.openxmlformats.org/spreadsheetml/2006/main" count="1023" uniqueCount="456">
  <si>
    <t>Register Name</t>
  </si>
  <si>
    <t>Index</t>
  </si>
  <si>
    <t>Khoảng</t>
  </si>
  <si>
    <r>
      <rPr>
        <b/>
        <sz val="11"/>
        <color rgb="FF0070C0"/>
        <rFont val="Aptos Narrow"/>
        <family val="2"/>
        <scheme val="minor"/>
      </rPr>
      <t>01000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</si>
  <si>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0</t>
    </r>
    <r>
      <rPr>
        <sz val="11"/>
        <color rgb="FFFF0000"/>
        <rFont val="Aptos Narrow"/>
        <family val="2"/>
        <scheme val="minor"/>
      </rPr>
      <t>x</t>
    </r>
    <r>
      <rPr>
        <b/>
        <sz val="11"/>
        <color rgb="FF0070C0"/>
        <rFont val="Aptos Narrow"/>
        <family val="2"/>
        <scheme val="minor"/>
      </rPr>
      <t>101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</si>
  <si>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</si>
  <si>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11011</t>
    </r>
    <r>
      <rPr>
        <b/>
        <sz val="11"/>
        <color theme="0" tint="-0.34998626667073579"/>
        <rFont val="Aptos Narrow"/>
        <family val="2"/>
        <scheme val="minor"/>
      </rPr>
      <t>11</t>
    </r>
  </si>
  <si>
    <t>zero</t>
  </si>
  <si>
    <t>MNEMONIC</t>
  </si>
  <si>
    <t>FMT</t>
  </si>
  <si>
    <t>OPCODE</t>
  </si>
  <si>
    <t>FUNCT3</t>
  </si>
  <si>
    <t>FUNCT7 or IMM</t>
  </si>
  <si>
    <t>OPCODE  (10)</t>
  </si>
  <si>
    <t>FUNCT7 (10)</t>
  </si>
  <si>
    <t>FUNCT3 (10)</t>
  </si>
  <si>
    <t>Description</t>
  </si>
  <si>
    <t>Operation</t>
  </si>
  <si>
    <t>cách</t>
  </si>
  <si>
    <t>R-type</t>
  </si>
  <si>
    <t>I-Type</t>
  </si>
  <si>
    <t>S-type</t>
  </si>
  <si>
    <t>U-type</t>
  </si>
  <si>
    <t>B-Type</t>
  </si>
  <si>
    <t>J-type</t>
  </si>
  <si>
    <t>ra</t>
  </si>
  <si>
    <t>lb</t>
  </si>
  <si>
    <t>I</t>
  </si>
  <si>
    <t>0000011</t>
  </si>
  <si>
    <t>000</t>
  </si>
  <si>
    <t>–</t>
  </si>
  <si>
    <r>
      <t>lb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</si>
  <si>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</si>
  <si>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Hamming</t>
  </si>
  <si>
    <t>sp</t>
  </si>
  <si>
    <t>lh</t>
  </si>
  <si>
    <t>001</t>
  </si>
  <si>
    <r>
      <t>lh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</si>
  <si>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</si>
  <si>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giữa</t>
  </si>
  <si>
    <t>gp</t>
  </si>
  <si>
    <t>lw</t>
  </si>
  <si>
    <t>010</t>
  </si>
  <si>
    <r>
      <t>lw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</si>
  <si>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sz val="11"/>
        <color rgb="FF795E26"/>
        <rFont val="Consolas"/>
        <family val="3"/>
      </rPr>
      <t>31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</si>
  <si>
    <t>tp</t>
  </si>
  <si>
    <t>lbu</t>
  </si>
  <si>
    <t>100</t>
  </si>
  <si>
    <r>
      <t>lbu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</si>
  <si>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</si>
  <si>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opcode</t>
  </si>
  <si>
    <t>t0</t>
  </si>
  <si>
    <t>lhu</t>
  </si>
  <si>
    <t>101</t>
  </si>
  <si>
    <r>
      <t>lhu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</si>
  <si>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</si>
  <si>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t1</t>
  </si>
  <si>
    <t>addi</t>
  </si>
  <si>
    <t>0010011</t>
  </si>
  <si>
    <r>
      <t>addi</t>
    </r>
    <r>
      <rPr>
        <sz val="11"/>
        <color rgb="FF3B3B3B"/>
        <rFont val="Consolas"/>
        <family val="3"/>
      </rPr>
      <t xml:space="preserve"> rd, rs1</t>
    </r>
  </si>
  <si>
    <t>rd = rs1 + SignExt(imm)</t>
  </si>
  <si>
    <t>t2</t>
  </si>
  <si>
    <t>slli</t>
  </si>
  <si>
    <t>0000000*</t>
  </si>
  <si>
    <r>
      <t>slli</t>
    </r>
    <r>
      <rPr>
        <sz val="11"/>
        <color rgb="FF3B3B3B"/>
        <rFont val="Consolas"/>
        <family val="3"/>
      </rPr>
      <t xml:space="preserve"> rd, rs1</t>
    </r>
  </si>
  <si>
    <t>rd = rs1 &lt;&lt; uimm</t>
  </si>
  <si>
    <t>s0</t>
  </si>
  <si>
    <t>slti</t>
  </si>
  <si>
    <r>
      <t>slti</t>
    </r>
    <r>
      <rPr>
        <sz val="11"/>
        <color rgb="FF3B3B3B"/>
        <rFont val="Consolas"/>
        <family val="3"/>
      </rPr>
      <t xml:space="preserve"> rd, rs1</t>
    </r>
  </si>
  <si>
    <t>rd = (rs1 &lt; SignExt(imm))</t>
  </si>
  <si>
    <t>s1</t>
  </si>
  <si>
    <t>sltiu</t>
  </si>
  <si>
    <t>011</t>
  </si>
  <si>
    <r>
      <t>sltiu</t>
    </r>
    <r>
      <rPr>
        <sz val="11"/>
        <color rgb="FF3B3B3B"/>
        <rFont val="Consolas"/>
        <family val="3"/>
      </rPr>
      <t xml:space="preserve">  rd, rs1</t>
    </r>
  </si>
  <si>
    <t>a0</t>
  </si>
  <si>
    <t>xori</t>
  </si>
  <si>
    <r>
      <t>xori</t>
    </r>
    <r>
      <rPr>
        <sz val="11"/>
        <color rgb="FF3B3B3B"/>
        <rFont val="Consolas"/>
        <family val="3"/>
      </rPr>
      <t xml:space="preserve"> rd, rs1</t>
    </r>
  </si>
  <si>
    <t>rd = rs1 ^ SignExt(imm)</t>
  </si>
  <si>
    <t>a1</t>
  </si>
  <si>
    <t>srli</t>
  </si>
  <si>
    <r>
      <t>srli</t>
    </r>
    <r>
      <rPr>
        <sz val="11"/>
        <color rgb="FF3B3B3B"/>
        <rFont val="Consolas"/>
        <family val="3"/>
      </rPr>
      <t xml:space="preserve"> rd, rs1</t>
    </r>
  </si>
  <si>
    <t>rd = rs1 &gt;&gt; uimm</t>
  </si>
  <si>
    <t>a2</t>
  </si>
  <si>
    <t>srai</t>
  </si>
  <si>
    <t>0100000*</t>
  </si>
  <si>
    <r>
      <t>srai</t>
    </r>
    <r>
      <rPr>
        <sz val="11"/>
        <color rgb="FF3B3B3B"/>
        <rFont val="Consolas"/>
        <family val="3"/>
      </rPr>
      <t xml:space="preserve"> rd, rs1</t>
    </r>
  </si>
  <si>
    <t>rd = rs1 &gt;&gt;&gt; uimm</t>
  </si>
  <si>
    <t>a3</t>
  </si>
  <si>
    <t>ori</t>
  </si>
  <si>
    <t>110</t>
  </si>
  <si>
    <r>
      <t>ori</t>
    </r>
    <r>
      <rPr>
        <sz val="11"/>
        <color rgb="FF3B3B3B"/>
        <rFont val="Consolas"/>
        <family val="3"/>
      </rPr>
      <t xml:space="preserve"> rd, rs1</t>
    </r>
  </si>
  <si>
    <t>rd = rs1 | SignExt(imm)</t>
  </si>
  <si>
    <t>a4</t>
  </si>
  <si>
    <t>andi</t>
  </si>
  <si>
    <t>111</t>
  </si>
  <si>
    <r>
      <t>andi</t>
    </r>
    <r>
      <rPr>
        <sz val="11"/>
        <color rgb="FF3B3B3B"/>
        <rFont val="Consolas"/>
        <family val="3"/>
      </rPr>
      <t xml:space="preserve"> rd, rs1</t>
    </r>
  </si>
  <si>
    <t>rd = rs1 &amp; SignExt(imm)</t>
  </si>
  <si>
    <t>a5</t>
  </si>
  <si>
    <t>auipc</t>
  </si>
  <si>
    <t>U</t>
  </si>
  <si>
    <t>0010111</t>
  </si>
  <si>
    <r>
      <t>auipc</t>
    </r>
    <r>
      <rPr>
        <sz val="11"/>
        <color rgb="FF3B3B3B"/>
        <rFont val="Consolas"/>
        <family val="3"/>
      </rPr>
      <t xml:space="preserve"> rd, upimm</t>
    </r>
  </si>
  <si>
    <r>
      <t xml:space="preserve">rd = {upimm, </t>
    </r>
    <r>
      <rPr>
        <sz val="11"/>
        <color rgb="FF098658"/>
        <rFont val="Consolas"/>
        <family val="3"/>
      </rPr>
      <t>12</t>
    </r>
    <r>
      <rPr>
        <sz val="11"/>
        <color rgb="FFA31515"/>
        <rFont val="Consolas"/>
        <family val="3"/>
      </rPr>
      <t>'b0} + PC</t>
    </r>
  </si>
  <si>
    <t>a6</t>
  </si>
  <si>
    <t>sb</t>
  </si>
  <si>
    <t>S</t>
  </si>
  <si>
    <t>0100011</t>
  </si>
  <si>
    <r>
      <t>sb</t>
    </r>
    <r>
      <rPr>
        <sz val="11"/>
        <color rgb="FF3B3B3B"/>
        <rFont val="Consolas"/>
        <family val="3"/>
      </rPr>
      <t xml:space="preserve"> rs2, imm(rs1)</t>
    </r>
  </si>
  <si>
    <r>
      <t>[Address]7:0 = rs2</t>
    </r>
    <r>
      <rPr>
        <vertAlign val="subscript"/>
        <sz val="11"/>
        <color rgb="FFA31515"/>
        <rFont val="Consolas"/>
        <family val="3"/>
      </rPr>
      <t>7:0</t>
    </r>
  </si>
  <si>
    <t>a7</t>
  </si>
  <si>
    <t>sh</t>
  </si>
  <si>
    <r>
      <t>sh</t>
    </r>
    <r>
      <rPr>
        <sz val="11"/>
        <color rgb="FF3B3B3B"/>
        <rFont val="Consolas"/>
        <family val="3"/>
      </rPr>
      <t xml:space="preserve"> rs2, imm(rs1)</t>
    </r>
  </si>
  <si>
    <r>
      <t>[Address]15:0 = rs2</t>
    </r>
    <r>
      <rPr>
        <vertAlign val="subscript"/>
        <sz val="11"/>
        <color rgb="FFA31515"/>
        <rFont val="Consolas"/>
        <family val="3"/>
      </rPr>
      <t>15:0</t>
    </r>
  </si>
  <si>
    <t>s2</t>
  </si>
  <si>
    <t>sw</t>
  </si>
  <si>
    <r>
      <t>sw</t>
    </r>
    <r>
      <rPr>
        <sz val="11"/>
        <color rgb="FF3B3B3B"/>
        <rFont val="Consolas"/>
        <family val="3"/>
      </rPr>
      <t xml:space="preserve"> rs2, imm(rs1)</t>
    </r>
  </si>
  <si>
    <t>[Address]31:0 = rs2</t>
  </si>
  <si>
    <t>s3</t>
  </si>
  <si>
    <t>add</t>
  </si>
  <si>
    <t>R</t>
  </si>
  <si>
    <t>0110011</t>
  </si>
  <si>
    <t>0000000</t>
  </si>
  <si>
    <r>
      <t>add</t>
    </r>
    <r>
      <rPr>
        <sz val="11"/>
        <color rgb="FF3B3B3B"/>
        <rFont val="Consolas"/>
        <family val="3"/>
      </rPr>
      <t xml:space="preserve"> rd, rs1</t>
    </r>
  </si>
  <si>
    <t>rd = rs1 + rs2</t>
  </si>
  <si>
    <t>s4</t>
  </si>
  <si>
    <t>sub</t>
  </si>
  <si>
    <t>0100000</t>
  </si>
  <si>
    <r>
      <t>sub</t>
    </r>
    <r>
      <rPr>
        <sz val="11"/>
        <color rgb="FF3B3B3B"/>
        <rFont val="Consolas"/>
        <family val="3"/>
      </rPr>
      <t xml:space="preserve"> rd, rs1</t>
    </r>
  </si>
  <si>
    <t>rd = rs1 — rs2</t>
  </si>
  <si>
    <t>s5</t>
  </si>
  <si>
    <t>sll</t>
  </si>
  <si>
    <r>
      <t>sll</t>
    </r>
    <r>
      <rPr>
        <sz val="11"/>
        <color rgb="FF3B3B3B"/>
        <rFont val="Consolas"/>
        <family val="3"/>
      </rPr>
      <t xml:space="preserve"> rd, rs1</t>
    </r>
  </si>
  <si>
    <r>
      <t>rd = rs1 &lt;&lt; rs2</t>
    </r>
    <r>
      <rPr>
        <vertAlign val="subscript"/>
        <sz val="11"/>
        <color rgb="FFA31515"/>
        <rFont val="Consolas"/>
        <family val="3"/>
      </rPr>
      <t>4:0</t>
    </r>
  </si>
  <si>
    <t>s6</t>
  </si>
  <si>
    <t>slt</t>
  </si>
  <si>
    <r>
      <t>slt</t>
    </r>
    <r>
      <rPr>
        <sz val="11"/>
        <color rgb="FF3B3B3B"/>
        <rFont val="Consolas"/>
        <family val="3"/>
      </rPr>
      <t xml:space="preserve"> rd, rs1</t>
    </r>
  </si>
  <si>
    <t>rd = (rs1 &lt; rs2)</t>
  </si>
  <si>
    <t>s7</t>
  </si>
  <si>
    <t>sltu</t>
  </si>
  <si>
    <r>
      <t>sltu</t>
    </r>
    <r>
      <rPr>
        <sz val="11"/>
        <color rgb="FF3B3B3B"/>
        <rFont val="Consolas"/>
        <family val="3"/>
      </rPr>
      <t xml:space="preserve"> rd, rs1</t>
    </r>
  </si>
  <si>
    <t>Lệnh</t>
  </si>
  <si>
    <t>Opcode</t>
  </si>
  <si>
    <t>Opchung</t>
  </si>
  <si>
    <t>s8</t>
  </si>
  <si>
    <t>xor</t>
  </si>
  <si>
    <r>
      <t>xor</t>
    </r>
    <r>
      <rPr>
        <sz val="11"/>
        <color rgb="FF3B3B3B"/>
        <rFont val="Consolas"/>
        <family val="3"/>
      </rPr>
      <t xml:space="preserve"> rd, rs1</t>
    </r>
  </si>
  <si>
    <t>rd = rs1 ^ rs2</t>
  </si>
  <si>
    <t>jal</t>
  </si>
  <si>
    <r>
      <t>110</t>
    </r>
    <r>
      <rPr>
        <b/>
        <sz val="11"/>
        <color rgb="FFFF0000"/>
        <rFont val="Courier New"/>
        <family val="3"/>
      </rPr>
      <t>1</t>
    </r>
    <r>
      <rPr>
        <sz val="11"/>
        <color theme="1"/>
        <rFont val="Courier New"/>
        <family val="3"/>
      </rPr>
      <t>111</t>
    </r>
  </si>
  <si>
    <r>
      <t>110</t>
    </r>
    <r>
      <rPr>
        <b/>
        <sz val="11"/>
        <color rgb="FFFF0000"/>
        <rFont val="Courier New"/>
        <family val="3"/>
      </rPr>
      <t>x</t>
    </r>
    <r>
      <rPr>
        <sz val="11"/>
        <color theme="1"/>
        <rFont val="Courier New"/>
        <family val="3"/>
      </rPr>
      <t>111</t>
    </r>
  </si>
  <si>
    <t>s9</t>
  </si>
  <si>
    <t>srl</t>
  </si>
  <si>
    <r>
      <t>srl</t>
    </r>
    <r>
      <rPr>
        <sz val="11"/>
        <color rgb="FF3B3B3B"/>
        <rFont val="Consolas"/>
        <family val="3"/>
      </rPr>
      <t xml:space="preserve"> rd, rs1</t>
    </r>
  </si>
  <si>
    <r>
      <t>rd = rs1 &gt;&gt; rs2</t>
    </r>
    <r>
      <rPr>
        <vertAlign val="subscript"/>
        <sz val="11"/>
        <color rgb="FFA31515"/>
        <rFont val="Consolas"/>
        <family val="3"/>
      </rPr>
      <t>4:0</t>
    </r>
  </si>
  <si>
    <t>jalr</t>
  </si>
  <si>
    <r>
      <t>110</t>
    </r>
    <r>
      <rPr>
        <b/>
        <sz val="11"/>
        <color rgb="FFFF0000"/>
        <rFont val="Courier New"/>
        <family val="3"/>
      </rPr>
      <t>0</t>
    </r>
    <r>
      <rPr>
        <sz val="11"/>
        <color theme="1"/>
        <rFont val="Courier New"/>
        <family val="3"/>
      </rPr>
      <t>111</t>
    </r>
  </si>
  <si>
    <t>s10</t>
  </si>
  <si>
    <t>sra</t>
  </si>
  <si>
    <r>
      <t>sra</t>
    </r>
    <r>
      <rPr>
        <sz val="11"/>
        <color rgb="FF3B3B3B"/>
        <rFont val="Consolas"/>
        <family val="3"/>
      </rPr>
      <t xml:space="preserve"> rd, rs1</t>
    </r>
  </si>
  <si>
    <r>
      <t>rd = rs1 &gt;&gt;&gt; rs2</t>
    </r>
    <r>
      <rPr>
        <vertAlign val="subscript"/>
        <sz val="11"/>
        <color rgb="FFA31515"/>
        <rFont val="Consolas"/>
        <family val="3"/>
      </rPr>
      <t>4:0</t>
    </r>
  </si>
  <si>
    <t>s11</t>
  </si>
  <si>
    <t>or</t>
  </si>
  <si>
    <r>
      <t>or</t>
    </r>
    <r>
      <rPr>
        <sz val="11"/>
        <color rgb="FF3B3B3B"/>
        <rFont val="Consolas"/>
        <family val="3"/>
      </rPr>
      <t xml:space="preserve"> rd, rs1</t>
    </r>
  </si>
  <si>
    <t>rd = rs1 | rs2</t>
  </si>
  <si>
    <t>t3</t>
  </si>
  <si>
    <t>and</t>
  </si>
  <si>
    <r>
      <t>and</t>
    </r>
    <r>
      <rPr>
        <sz val="11"/>
        <color rgb="FF3B3B3B"/>
        <rFont val="Consolas"/>
        <family val="3"/>
      </rPr>
      <t xml:space="preserve"> rd, rs1</t>
    </r>
  </si>
  <si>
    <t>rd = rs1 &amp; rs2</t>
  </si>
  <si>
    <t>t4</t>
  </si>
  <si>
    <t>lui</t>
  </si>
  <si>
    <t>0110111</t>
  </si>
  <si>
    <r>
      <t>lui</t>
    </r>
    <r>
      <rPr>
        <sz val="11"/>
        <color rgb="FF3B3B3B"/>
        <rFont val="Consolas"/>
        <family val="3"/>
      </rPr>
      <t xml:space="preserve"> rd, upimm</t>
    </r>
  </si>
  <si>
    <t>rd = {upimm, 12’b0}</t>
  </si>
  <si>
    <t>t5</t>
  </si>
  <si>
    <t>beq</t>
  </si>
  <si>
    <t>B</t>
  </si>
  <si>
    <t>1100011</t>
  </si>
  <si>
    <r>
      <t>beq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</si>
  <si>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== rs2) PC = BTA</t>
  </si>
  <si>
    <t>t6</t>
  </si>
  <si>
    <t>bne</t>
  </si>
  <si>
    <r>
      <t>bne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</si>
  <si>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! rs2) PC = BTA</t>
  </si>
  <si>
    <t>blt</t>
  </si>
  <si>
    <r>
      <t>blt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</si>
  <si>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&lt; rs2) PC = BTA</t>
  </si>
  <si>
    <t>bge</t>
  </si>
  <si>
    <r>
      <t>bge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</si>
  <si>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&gt;= rs2) PC = BTA</t>
  </si>
  <si>
    <t>bltu</t>
  </si>
  <si>
    <r>
      <t>bltu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</si>
  <si>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bgeu</t>
  </si>
  <si>
    <r>
      <t>bgeu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</si>
  <si>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1100111</t>
  </si>
  <si>
    <r>
      <t>jalr</t>
    </r>
    <r>
      <rPr>
        <sz val="11"/>
        <color rgb="FF3B3B3B"/>
        <rFont val="Consolas"/>
        <family val="3"/>
      </rPr>
      <t xml:space="preserve"> rd, rs1</t>
    </r>
    <r>
      <rPr>
        <sz val="11"/>
        <color rgb="FF795E26"/>
        <rFont val="Consolas"/>
        <family val="3"/>
      </rPr>
      <t>, imm</t>
    </r>
  </si>
  <si>
    <t>PC = rs1 + SignExt(imm), rd = PC + 4</t>
  </si>
  <si>
    <t>J</t>
  </si>
  <si>
    <t>1101111</t>
  </si>
  <si>
    <r>
      <t>jal</t>
    </r>
    <r>
      <rPr>
        <sz val="11"/>
        <color rgb="FF3B3B3B"/>
        <rFont val="Consolas"/>
        <family val="3"/>
      </rPr>
      <t xml:space="preserve"> rd, label</t>
    </r>
  </si>
  <si>
    <t xml:space="preserve">PC = JTA,                rd = PC + 4 </t>
  </si>
  <si>
    <t>ld</t>
  </si>
  <si>
    <r>
      <t>ld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</si>
  <si>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vertAlign val="subscript"/>
        <sz val="11"/>
        <color rgb="FFA31515"/>
        <rFont val="Consolas"/>
        <family val="3"/>
      </rPr>
      <t>63:0</t>
    </r>
  </si>
  <si>
    <t>lwu</t>
  </si>
  <si>
    <t>lwu rd, imm(rs1)</t>
  </si>
  <si>
    <r>
      <t>rd = ZeroExt([Address]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</si>
  <si>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addiw</t>
  </si>
  <si>
    <t>0011011</t>
  </si>
  <si>
    <r>
      <t>addiw</t>
    </r>
    <r>
      <rPr>
        <sz val="11"/>
        <color rgb="FF3B3B3B"/>
        <rFont val="Consolas"/>
        <family val="3"/>
      </rPr>
      <t xml:space="preserve">  rd, rs1</t>
    </r>
  </si>
  <si>
    <r>
      <t>rd = SignExt((rs1 + SignExt(imm))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</si>
  <si>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slliw</t>
  </si>
  <si>
    <r>
      <t>slliw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</si>
  <si>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</si>
  <si>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srliw</t>
  </si>
  <si>
    <r>
      <t>srliw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</si>
  <si>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</si>
  <si>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sraiw</t>
  </si>
  <si>
    <r>
      <t>sraiw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</si>
  <si>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</si>
  <si>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sd</t>
  </si>
  <si>
    <r>
      <t>sd</t>
    </r>
    <r>
      <rPr>
        <sz val="11"/>
        <color rgb="FF3B3B3B"/>
        <rFont val="Consolas"/>
        <family val="3"/>
      </rPr>
      <t xml:space="preserve"> rs2, imm(rs1)</t>
    </r>
  </si>
  <si>
    <t>addw</t>
  </si>
  <si>
    <r>
      <t>addw</t>
    </r>
    <r>
      <rPr>
        <sz val="11"/>
        <color rgb="FF3B3B3B"/>
        <rFont val="Consolas"/>
        <family val="3"/>
      </rPr>
      <t xml:space="preserve"> rd, rs1</t>
    </r>
  </si>
  <si>
    <r>
      <t>rd = SignExt((rs1 +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</si>
  <si>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subw</t>
  </si>
  <si>
    <r>
      <t>subw</t>
    </r>
    <r>
      <rPr>
        <sz val="11"/>
        <color rgb="FF3B3B3B"/>
        <rFont val="Consolas"/>
        <family val="3"/>
      </rPr>
      <t xml:space="preserve"> rd, rs1</t>
    </r>
  </si>
  <si>
    <r>
      <t>rd = SignExt((rs1 —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</si>
  <si>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sllw</t>
  </si>
  <si>
    <r>
      <t>sllw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</si>
  <si>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</si>
  <si>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srlw</t>
  </si>
  <si>
    <r>
      <t>srlw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</si>
  <si>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</si>
  <si>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sraw</t>
  </si>
  <si>
    <r>
      <t>sraw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</si>
  <si>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</si>
  <si>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I - Type</t>
  </si>
  <si>
    <t>U - Type</t>
  </si>
  <si>
    <t>J - Type</t>
  </si>
  <si>
    <t>B - Type</t>
  </si>
  <si>
    <t>S - Type</t>
  </si>
  <si>
    <t>R - Type</t>
  </si>
  <si>
    <t>rd</t>
  </si>
  <si>
    <t>rs1</t>
  </si>
  <si>
    <t>12 bit</t>
  </si>
  <si>
    <t>Assembly Instruction</t>
  </si>
  <si>
    <t>--&gt; imm</t>
  </si>
  <si>
    <t>Type</t>
  </si>
  <si>
    <t>imm[11:0]</t>
  </si>
  <si>
    <t>funct3</t>
  </si>
  <si>
    <t>Navigation</t>
  </si>
  <si>
    <t>Digitalize</t>
  </si>
  <si>
    <t>Binary</t>
  </si>
  <si>
    <t>Hexadecial</t>
  </si>
  <si>
    <t>20 bit</t>
  </si>
  <si>
    <t>0xAFFFC</t>
  </si>
  <si>
    <t>=</t>
  </si>
  <si>
    <t>imm 31:12</t>
  </si>
  <si>
    <t>PC</t>
  </si>
  <si>
    <t>0x00500000</t>
  </si>
  <si>
    <t>(</t>
  </si>
  <si>
    <t>)</t>
  </si>
  <si>
    <t>+</t>
  </si>
  <si>
    <t>0x10000C</t>
  </si>
  <si>
    <t>PC+4</t>
  </si>
  <si>
    <t>imm20,10:1,11,19:12</t>
  </si>
  <si>
    <t>rs2</t>
  </si>
  <si>
    <t>imm[12], imm[10:5]</t>
  </si>
  <si>
    <t>imm [4:1], imm[11]</t>
  </si>
  <si>
    <t>0x150</t>
  </si>
  <si>
    <t>imm[11:5]</t>
  </si>
  <si>
    <t>imm [4:0]</t>
  </si>
  <si>
    <t>funct7</t>
  </si>
  <si>
    <t>Local IP</t>
  </si>
  <si>
    <t>SPLIT IP</t>
  </si>
  <si>
    <t>IP in Hex</t>
  </si>
  <si>
    <t>IP in Bit</t>
  </si>
  <si>
    <t>Network IP</t>
  </si>
  <si>
    <t>subnet</t>
  </si>
  <si>
    <t>255.255.255.0</t>
  </si>
  <si>
    <t>IP Hương</t>
  </si>
  <si>
    <t>192.168.33.8</t>
  </si>
  <si>
    <t>IP Đạt</t>
  </si>
  <si>
    <t>192.168.33.212</t>
  </si>
  <si>
    <t>Qui định</t>
  </si>
  <si>
    <t>BIT 0</t>
  </si>
  <si>
    <t>=0 ko đi được / =1 đi được</t>
  </si>
  <si>
    <t>Bit 1</t>
  </si>
  <si>
    <t>Bit 3</t>
  </si>
  <si>
    <t>Bit 2</t>
  </si>
  <si>
    <t>Giá trị tương ứng</t>
  </si>
  <si>
    <t>Mặt nạ xác định hướng dịch chuyển</t>
  </si>
  <si>
    <t>0010</t>
  </si>
  <si>
    <t>Kêt quả</t>
  </si>
  <si>
    <t>Arithmatic Logic Unit</t>
  </si>
  <si>
    <t>Data</t>
  </si>
  <si>
    <t xml:space="preserve">Register </t>
  </si>
  <si>
    <t>….............................</t>
  </si>
  <si>
    <t>&lt;&lt;&lt;</t>
  </si>
  <si>
    <t>&lt;&lt;&lt;&lt;</t>
  </si>
  <si>
    <t>v</t>
  </si>
  <si>
    <t>^</t>
  </si>
  <si>
    <t>&gt;</t>
  </si>
  <si>
    <t>R (RVI64)</t>
  </si>
  <si>
    <t>XOR</t>
  </si>
  <si>
    <t>RTYPE_MASK</t>
  </si>
  <si>
    <t>Tín hiệu xác định khuôn dạng lệnh là R</t>
  </si>
  <si>
    <t>(decimal)</t>
  </si>
  <si>
    <t>(operator)</t>
  </si>
  <si>
    <t>Giải mã khuôn dạng lệnh R</t>
  </si>
  <si>
    <t>Decoder</t>
  </si>
  <si>
    <r>
      <rPr>
        <u/>
        <sz val="11"/>
        <color theme="1"/>
        <rFont val="Aptos Narrow"/>
        <family val="2"/>
        <scheme val="minor"/>
      </rPr>
      <t>add</t>
    </r>
    <r>
      <rPr>
        <sz val="11"/>
        <color theme="1"/>
        <rFont val="Aptos Narrow"/>
        <family val="2"/>
        <scheme val="minor"/>
      </rPr>
      <t>/sub</t>
    </r>
  </si>
  <si>
    <r>
      <rPr>
        <u/>
        <sz val="11"/>
        <color theme="1"/>
        <rFont val="Aptos Narrow"/>
        <family val="2"/>
        <scheme val="minor"/>
      </rPr>
      <t>sll</t>
    </r>
    <r>
      <rPr>
        <sz val="11"/>
        <color theme="1"/>
        <rFont val="Aptos Narrow"/>
        <family val="2"/>
        <scheme val="minor"/>
      </rPr>
      <t>/srl</t>
    </r>
  </si>
  <si>
    <t>i0</t>
  </si>
  <si>
    <t>i1</t>
  </si>
  <si>
    <t>func7(5)</t>
  </si>
  <si>
    <t>i4</t>
  </si>
  <si>
    <t>i7</t>
  </si>
  <si>
    <t>i5</t>
  </si>
  <si>
    <t>i6</t>
  </si>
  <si>
    <t>=============</t>
  </si>
  <si>
    <t>Thiết kế</t>
  </si>
  <si>
    <t>EN</t>
  </si>
  <si>
    <t>funct[0] and funct[1] and not funct[2]</t>
  </si>
  <si>
    <t>in</t>
  </si>
  <si>
    <t>out</t>
  </si>
  <si>
    <t>buf</t>
  </si>
  <si>
    <t>Bộ đệm 3 trạng thái</t>
  </si>
  <si>
    <t>…...............................</t>
  </si>
  <si>
    <t>FUNCT7</t>
  </si>
  <si>
    <t>Data Memory</t>
  </si>
  <si>
    <t>Immediate value</t>
  </si>
  <si>
    <t>I (RV64I)</t>
  </si>
  <si>
    <r>
      <rPr>
        <sz val="11"/>
        <color rgb="FFFF0000"/>
        <rFont val="Aptos Narrow"/>
        <family val="2"/>
        <scheme val="minor"/>
      </rPr>
      <t>00x00</t>
    </r>
    <r>
      <rPr>
        <b/>
        <sz val="11"/>
        <color theme="0" tint="-0.34998626667073579"/>
        <rFont val="Aptos Narrow"/>
        <family val="2"/>
        <scheme val="minor"/>
      </rPr>
      <t>11</t>
    </r>
  </si>
  <si>
    <t>2F2</t>
  </si>
  <si>
    <t>0D5</t>
  </si>
  <si>
    <t>A9F</t>
  </si>
  <si>
    <t>47E</t>
  </si>
  <si>
    <t>CB7</t>
  </si>
  <si>
    <t>855</t>
  </si>
  <si>
    <t>1B0</t>
  </si>
  <si>
    <t>C76</t>
  </si>
  <si>
    <t>487</t>
  </si>
  <si>
    <t>DF8</t>
  </si>
  <si>
    <t>538</t>
  </si>
  <si>
    <t>5F3</t>
  </si>
  <si>
    <t>003</t>
  </si>
  <si>
    <t>F87</t>
  </si>
  <si>
    <t>9B7</t>
  </si>
  <si>
    <t>315</t>
  </si>
  <si>
    <t>993</t>
  </si>
  <si>
    <t>C35</t>
  </si>
  <si>
    <t>E01</t>
  </si>
  <si>
    <t>46B</t>
  </si>
  <si>
    <t>D7C</t>
  </si>
  <si>
    <t>D12</t>
  </si>
  <si>
    <t>206</t>
  </si>
  <si>
    <t>6F9</t>
  </si>
  <si>
    <t>D80</t>
  </si>
  <si>
    <t>514</t>
  </si>
  <si>
    <t>02D</t>
  </si>
  <si>
    <t>239</t>
  </si>
  <si>
    <t>FBE</t>
  </si>
  <si>
    <t>2B5</t>
  </si>
  <si>
    <t>F34</t>
  </si>
  <si>
    <r>
      <rPr>
        <b/>
        <sz val="11"/>
        <color theme="7" tint="-0.249977111117893"/>
        <rFont val="Aptos Narrow"/>
        <family val="2"/>
        <scheme val="minor"/>
      </rPr>
      <t>01100</t>
    </r>
    <r>
      <rPr>
        <b/>
        <sz val="11"/>
        <color theme="0" tint="-0.34998626667073579"/>
        <rFont val="Aptos Narrow"/>
        <family val="2"/>
        <scheme val="minor"/>
      </rPr>
      <t>11</t>
    </r>
  </si>
  <si>
    <t>opcode(0) is always '1</t>
  </si>
  <si>
    <t>S (RV64I)</t>
  </si>
  <si>
    <t>Stype</t>
  </si>
  <si>
    <t>Address</t>
  </si>
  <si>
    <t>WriteEnable</t>
  </si>
  <si>
    <t>rs2 =</t>
  </si>
  <si>
    <t>instruction</t>
  </si>
  <si>
    <t>Extract imm from Instruction,     and Sign Extend</t>
  </si>
  <si>
    <t>`</t>
  </si>
  <si>
    <t>type</t>
  </si>
  <si>
    <t>B-type</t>
  </si>
  <si>
    <t>Is(R+B)type</t>
  </si>
  <si>
    <t>I-type</t>
  </si>
  <si>
    <t>L</t>
  </si>
  <si>
    <t>V</t>
  </si>
  <si>
    <t>1</t>
  </si>
  <si>
    <t>0</t>
  </si>
  <si>
    <t>Is(I+U+S+J)type</t>
  </si>
  <si>
    <t>ReadEnable</t>
  </si>
  <si>
    <t>IsLoadIns</t>
  </si>
  <si>
    <t>Các lệnh load để đọc bộ nhớ chính đều có và chỉ có opcode = 3</t>
  </si>
  <si>
    <t>RItype</t>
  </si>
  <si>
    <t>AB123</t>
  </si>
  <si>
    <t>GPIO_ENABLE_REG</t>
  </si>
  <si>
    <t>GPIO</t>
  </si>
  <si>
    <t>0x60004020</t>
  </si>
  <si>
    <t>bit 21 --&gt; 0</t>
  </si>
  <si>
    <t>GPIO_ENABLE_W1TS_REG</t>
  </si>
  <si>
    <t>0x60004024</t>
  </si>
  <si>
    <t>Set</t>
  </si>
  <si>
    <t>Clear</t>
  </si>
  <si>
    <t>GPIO_ENABLE_W1TC_REG</t>
  </si>
  <si>
    <t>0x60004028</t>
  </si>
  <si>
    <t>GPIO_IN_REG</t>
  </si>
  <si>
    <t>0x6000403C</t>
  </si>
  <si>
    <t>GPIO_OUT_REG</t>
  </si>
  <si>
    <t>0x60004004</t>
  </si>
  <si>
    <t>GPIO_OUT_W1TS_REG</t>
  </si>
  <si>
    <t>GPIO_OUT_W1TC_REG</t>
  </si>
  <si>
    <t>0x60004008</t>
  </si>
  <si>
    <t>0x6000400C</t>
  </si>
  <si>
    <t>E.g.Arduino: digitalRead(PIN)</t>
  </si>
  <si>
    <t>E.g.Arduino: pinMode(PIN, OUTPUT|INPUT)</t>
  </si>
  <si>
    <t>E.g.Arduino: digitalWrite(PIN, HIGH/LOW)</t>
  </si>
  <si>
    <t>Mux</t>
  </si>
  <si>
    <t>IO_MUX_GPIOn_REG</t>
  </si>
  <si>
    <t>0x60009004+4*n</t>
  </si>
  <si>
    <t>n= 21--&gt;0</t>
  </si>
  <si>
    <t>value</t>
  </si>
  <si>
    <t>Harware</t>
  </si>
  <si>
    <t>Modules</t>
  </si>
  <si>
    <t>sel</t>
  </si>
  <si>
    <t>.text·</t>
  </si>
  <si>
    <t>nop</t>
  </si>
  <si>
    <t>ustatus</t>
  </si>
  <si>
    <t>uie</t>
  </si>
  <si>
    <t>Thiết bị 1</t>
  </si>
  <si>
    <t>Thiết bị 2</t>
  </si>
  <si>
    <t>Inside CPU</t>
  </si>
  <si>
    <t>IO Module</t>
  </si>
  <si>
    <t>IN_ADDRESS_HEXA_KEYBOARD</t>
  </si>
  <si>
    <t>..</t>
  </si>
  <si>
    <t>handler:</t>
  </si>
  <si>
    <t>Báo hiệu có sự cố</t>
  </si>
  <si>
    <t>E.g. Locker of a building</t>
  </si>
  <si>
    <t>E.g. Locker of a floor</t>
  </si>
  <si>
    <t>E.g. Locker of a Room</t>
  </si>
  <si>
    <t>TIMER_CMP</t>
  </si>
  <si>
    <t>ucause</t>
  </si>
  <si>
    <t>Difference Modules use the same GPIO pins</t>
  </si>
  <si>
    <t>to reduce total number of GPIO pins</t>
  </si>
  <si>
    <t>Control Signal, priority higher than the one from MUX. Eg.</t>
  </si>
  <si>
    <t>if  GPIO_OUT_W1TS_REG then GPIO_OUT_REG = 1</t>
  </si>
  <si>
    <t>elsif  GPIO_OUT_W1TC_REG then  GPIO_OUT_REG = 0</t>
  </si>
  <si>
    <t>else  GPIO_OUT_REG  &lt;= MUX</t>
  </si>
  <si>
    <t>RAM</t>
  </si>
  <si>
    <t>addi t1,zero, 8</t>
  </si>
  <si>
    <t xml:space="preserve"> </t>
  </si>
  <si>
    <t>t1=?</t>
  </si>
  <si>
    <t>addi  x, x, 4</t>
  </si>
  <si>
    <t>x=?</t>
  </si>
  <si>
    <t>x=5</t>
  </si>
  <si>
    <t>y =7</t>
  </si>
  <si>
    <t>Vùng chứa data     .data</t>
  </si>
  <si>
    <t>Vùng lệnh    .text</t>
  </si>
  <si>
    <t>❦: 13 bit, số chẵn</t>
  </si>
  <si>
    <t>0x004000C</t>
  </si>
  <si>
    <t>❦: 21 bit, số chẵn</t>
  </si>
  <si>
    <r>
      <t xml:space="preserve">Reference to </t>
    </r>
    <r>
      <rPr>
        <b/>
        <i/>
        <sz val="11"/>
        <color theme="1"/>
        <rFont val="Aptos Narrow"/>
        <family val="2"/>
        <scheme val="minor"/>
      </rPr>
      <t>R</t>
    </r>
    <r>
      <rPr>
        <i/>
        <sz val="11"/>
        <color theme="1"/>
        <rFont val="Aptos Narrow"/>
        <family val="2"/>
        <scheme val="minor"/>
      </rPr>
      <t xml:space="preserve"> type</t>
    </r>
  </si>
  <si>
    <t>0x10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</si>
</sst>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3B3B3B"/>
      <name val="Consolas"/>
      <family val="3"/>
    </font>
    <font>
      <sz val="11"/>
      <color rgb="FF795E26"/>
      <name val="Consolas"/>
      <family val="3"/>
    </font>
    <font>
      <sz val="11"/>
      <color rgb="FF098658"/>
      <name val="Consolas"/>
      <family val="3"/>
    </font>
    <font>
      <sz val="11"/>
      <color rgb="FFA31515"/>
      <name val="Consolas"/>
      <family val="3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vertAlign val="subscript"/>
      <sz val="11"/>
      <color rgb="FFA31515"/>
      <name val="Consolas"/>
      <family val="3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0"/>
      <name val="Courier New"/>
      <family val="3"/>
    </font>
    <font>
      <sz val="11"/>
      <color rgb="FF098658"/>
      <name val="Courier New"/>
      <family val="3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  <font>
      <b/>
      <sz val="11"/>
      <color theme="7" tint="-0.249977111117893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9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7" tint="-0.249977111117893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9"/>
      <color theme="0" tint="-0.34998626667073579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1"/>
      <color theme="0" tint="-4.9989318521683403E-2"/>
      <name val="Aptos Narrow"/>
      <family val="2"/>
      <scheme val="minor"/>
    </font>
    <font>
      <sz val="11"/>
      <color theme="9" tint="0.79998168889431442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CC9900"/>
      <name val="Aptos Narrow"/>
      <family val="2"/>
      <scheme val="minor"/>
    </font>
    <font>
      <i/>
      <sz val="9"/>
      <color rgb="FF00B05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1"/>
      <color theme="8" tint="-0.249977111117893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1"/>
      <name val="Aptos Narrow"/>
      <family val="2"/>
    </font>
    <font>
      <i/>
      <sz val="11"/>
      <name val="Aptos Narrow"/>
      <family val="2"/>
      <scheme val="minor"/>
    </font>
    <font>
      <i/>
      <strike/>
      <sz val="11"/>
      <color rgb="FFFF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theme="9"/>
      </patternFill>
    </fill>
    <fill>
      <patternFill patternType="solid">
        <fgColor theme="4" tint="0.39997558519241921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theme="9"/>
      </patternFill>
    </fill>
    <fill>
      <patternFill patternType="solid">
        <fgColor rgb="FFFF99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 diagonalUp="1" diagonalDown="1">
      <left/>
      <right/>
      <top/>
      <bottom/>
      <diagonal style="thin">
        <color auto="1"/>
      </diagonal>
    </border>
    <border>
      <left/>
      <right style="mediumDashed">
        <color indexed="64"/>
      </right>
      <top/>
      <bottom/>
      <diagonal/>
    </border>
    <border diagonalUp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/>
      <right/>
      <top/>
      <bottom/>
      <diagonal style="thin">
        <color auto="1"/>
      </diagonal>
    </border>
    <border diagonalDown="1">
      <left style="thick">
        <color indexed="64"/>
      </left>
      <right/>
      <top/>
      <bottom/>
      <diagonal style="thick">
        <color indexed="64"/>
      </diagonal>
    </border>
    <border diagonalDown="1">
      <left/>
      <right style="thick">
        <color indexed="64"/>
      </right>
      <top/>
      <bottom/>
      <diagonal style="thick">
        <color indexed="64"/>
      </diagonal>
    </border>
    <border diagonalDown="1">
      <left/>
      <right/>
      <top/>
      <bottom/>
      <diagonal style="thick">
        <color auto="1"/>
      </diagonal>
    </border>
    <border diagonalUp="1">
      <left style="thick">
        <color indexed="64"/>
      </left>
      <right/>
      <top/>
      <bottom/>
      <diagonal style="thick">
        <color indexed="64"/>
      </diagonal>
    </border>
    <border diagonalUp="1">
      <left/>
      <right/>
      <top/>
      <bottom/>
      <diagonal style="thick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theme="8" tint="-0.249977111117893"/>
      </bottom>
      <diagonal/>
    </border>
    <border>
      <left/>
      <right style="thick">
        <color theme="8" tint="-0.249977111117893"/>
      </right>
      <top/>
      <bottom style="thick">
        <color theme="8" tint="-0.249977111117893"/>
      </bottom>
      <diagonal/>
    </border>
    <border>
      <left/>
      <right style="thick">
        <color theme="8" tint="-0.249977111117893"/>
      </right>
      <top/>
      <bottom/>
      <diagonal/>
    </border>
    <border>
      <left/>
      <right/>
      <top/>
      <bottom style="thick">
        <color rgb="FFCC9900"/>
      </bottom>
      <diagonal/>
    </border>
    <border>
      <left/>
      <right style="thick">
        <color rgb="FFCC9900"/>
      </right>
      <top/>
      <bottom/>
      <diagonal/>
    </border>
    <border>
      <left/>
      <right style="thick">
        <color rgb="FFCC9900"/>
      </right>
      <top/>
      <bottom style="thick">
        <color rgb="FFCC9900"/>
      </bottom>
      <diagonal/>
    </border>
    <border diagonalUp="1">
      <left style="thick">
        <color rgb="FFCC9900"/>
      </left>
      <right style="thick">
        <color theme="8" tint="-0.249977111117893"/>
      </right>
      <top/>
      <bottom/>
      <diagonal style="thick">
        <color rgb="FFCC9900"/>
      </diagonal>
    </border>
    <border diagonalDown="1">
      <left style="thick">
        <color rgb="FFCC9900"/>
      </left>
      <right/>
      <top/>
      <bottom/>
      <diagonal style="thick">
        <color rgb="FFCC9900"/>
      </diagonal>
    </border>
    <border diagonalDown="1">
      <left/>
      <right/>
      <top/>
      <bottom/>
      <diagonal style="thick">
        <color rgb="FFCC9900"/>
      </diagonal>
    </border>
    <border diagonalUp="1">
      <left/>
      <right/>
      <top/>
      <bottom/>
      <diagonal style="thick">
        <color rgb="FFCC9900"/>
      </diagonal>
    </border>
    <border>
      <left/>
      <right style="thick">
        <color rgb="FFCC9900"/>
      </right>
      <top style="thick">
        <color rgb="FFCC9900"/>
      </top>
      <bottom/>
      <diagonal/>
    </border>
    <border>
      <left/>
      <right style="thick">
        <color theme="4" tint="-0.249977111117893"/>
      </right>
      <top/>
      <bottom/>
      <diagonal/>
    </border>
    <border>
      <left/>
      <right/>
      <top/>
      <bottom style="thick">
        <color theme="4" tint="-0.249977111117893"/>
      </bottom>
      <diagonal/>
    </border>
    <border>
      <left/>
      <right style="thick">
        <color theme="4" tint="-0.249977111117893"/>
      </right>
      <top/>
      <bottom style="thick">
        <color theme="4" tint="-0.249977111117893"/>
      </bottom>
      <diagonal/>
    </border>
    <border diagonalDown="1">
      <left/>
      <right style="thick">
        <color theme="4" tint="-0.249977111117893"/>
      </right>
      <top/>
      <bottom/>
      <diagonal style="thick">
        <color theme="4" tint="-0.249977111117893"/>
      </diagonal>
    </border>
    <border diagonalDown="1">
      <left/>
      <right/>
      <top/>
      <bottom/>
      <diagonal style="thick">
        <color theme="4" tint="-0.249977111117893"/>
      </diagonal>
    </border>
    <border diagonalUp="1">
      <left/>
      <right/>
      <top/>
      <bottom/>
      <diagonal style="thick">
        <color theme="4" tint="-0.249977111117893"/>
      </diagonal>
    </border>
    <border diagonalUp="1">
      <left style="thin">
        <color indexed="64"/>
      </left>
      <right style="thick">
        <color theme="4" tint="-0.249977111117893"/>
      </right>
      <top/>
      <bottom/>
      <diagonal style="thick">
        <color theme="4" tint="-0.249977111117893"/>
      </diagonal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/>
      <right style="thick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thick">
        <color theme="4" tint="-0.249977111117893"/>
      </top>
      <bottom style="thick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 diagonalUp="1" diagonalDown="1">
      <left/>
      <right/>
      <top/>
      <bottom/>
      <diagonal style="thick">
        <color auto="1"/>
      </diagonal>
    </border>
  </borders>
  <cellStyleXfs count="3">
    <xf numFmtId="0" fontId="0" fillId="0" borderId="0"/>
    <xf numFmtId="0" fontId="43" fillId="0" borderId="13" applyNumberFormat="0" applyFill="0" applyAlignment="0" applyProtection="0"/>
    <xf numFmtId="0" fontId="45" fillId="0" borderId="0" applyNumberFormat="0" applyFill="0" applyBorder="0" applyAlignment="0" applyProtection="0"/>
  </cellStyleXfs>
  <cellXfs count="542">
    <xf numFmtId="0" fontId="0" fillId="0" borderId="0" xfId="0"/>
    <xf numFmtId="0" fontId="1" fillId="0" borderId="0" xfId="0" applyFont="1"/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5" borderId="0" xfId="0" applyFill="1"/>
    <xf numFmtId="0" fontId="0" fillId="2" borderId="0" xfId="0" applyFill="1"/>
    <xf numFmtId="0" fontId="0" fillId="4" borderId="0" xfId="0" applyFill="1"/>
    <xf numFmtId="0" fontId="6" fillId="0" borderId="0" xfId="0" applyFont="1"/>
    <xf numFmtId="0" fontId="4" fillId="0" borderId="0" xfId="0" quotePrefix="1" applyFont="1"/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0" fillId="7" borderId="2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0" fillId="11" borderId="0" xfId="0" applyFont="1" applyFill="1"/>
    <xf numFmtId="0" fontId="0" fillId="0" borderId="0" xfId="0" quotePrefix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49" fontId="26" fillId="0" borderId="0" xfId="0" applyNumberFormat="1" applyFont="1"/>
    <xf numFmtId="49" fontId="24" fillId="11" borderId="0" xfId="0" applyNumberFormat="1" applyFont="1" applyFill="1"/>
    <xf numFmtId="49" fontId="25" fillId="0" borderId="0" xfId="0" applyNumberFormat="1" applyFont="1" applyAlignment="1">
      <alignment vertical="center"/>
    </xf>
    <xf numFmtId="0" fontId="23" fillId="0" borderId="0" xfId="0" quotePrefix="1" applyFont="1"/>
    <xf numFmtId="0" fontId="2" fillId="0" borderId="0" xfId="0" applyFont="1"/>
    <xf numFmtId="49" fontId="30" fillId="0" borderId="0" xfId="0" applyNumberFormat="1" applyFont="1"/>
    <xf numFmtId="0" fontId="20" fillId="12" borderId="0" xfId="0" applyFont="1" applyFill="1"/>
    <xf numFmtId="0" fontId="31" fillId="7" borderId="2" xfId="0" applyFont="1" applyFill="1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2" fillId="0" borderId="4" xfId="0" applyFont="1" applyBorder="1"/>
    <xf numFmtId="0" fontId="33" fillId="0" borderId="0" xfId="0" applyFont="1"/>
    <xf numFmtId="0" fontId="34" fillId="7" borderId="0" xfId="0" applyFont="1" applyFill="1"/>
    <xf numFmtId="0" fontId="36" fillId="7" borderId="0" xfId="0" applyFont="1" applyFill="1"/>
    <xf numFmtId="0" fontId="35" fillId="7" borderId="2" xfId="0" applyFont="1" applyFill="1" applyBorder="1" applyAlignment="1">
      <alignment horizontal="center"/>
    </xf>
    <xf numFmtId="0" fontId="35" fillId="7" borderId="3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3" fillId="7" borderId="0" xfId="0" applyFont="1" applyFill="1"/>
    <xf numFmtId="0" fontId="32" fillId="7" borderId="0" xfId="0" applyFont="1" applyFill="1"/>
    <xf numFmtId="0" fontId="31" fillId="7" borderId="1" xfId="0" applyFon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37" fillId="0" borderId="0" xfId="0" applyFont="1" applyAlignment="1">
      <alignment horizontal="right"/>
    </xf>
    <xf numFmtId="0" fontId="38" fillId="0" borderId="0" xfId="0" quotePrefix="1" applyFont="1"/>
    <xf numFmtId="0" fontId="27" fillId="14" borderId="0" xfId="0" applyFont="1" applyFill="1" applyAlignment="1">
      <alignment horizontal="center" justifyLastLine="1" shrinkToFit="1"/>
    </xf>
    <xf numFmtId="0" fontId="0" fillId="0" borderId="10" xfId="0" applyBorder="1" applyAlignment="1">
      <alignment horizontal="center"/>
    </xf>
    <xf numFmtId="0" fontId="41" fillId="0" borderId="0" xfId="0" applyFont="1"/>
    <xf numFmtId="0" fontId="33" fillId="0" borderId="11" xfId="0" applyFont="1" applyBorder="1"/>
    <xf numFmtId="0" fontId="27" fillId="14" borderId="9" xfId="0" applyFont="1" applyFill="1" applyBorder="1" applyAlignment="1">
      <alignment horizontal="center" justifyLastLine="1" shrinkToFit="1"/>
    </xf>
    <xf numFmtId="0" fontId="0" fillId="14" borderId="9" xfId="0" applyFill="1" applyBorder="1" applyAlignment="1">
      <alignment horizontal="center"/>
    </xf>
    <xf numFmtId="0" fontId="42" fillId="0" borderId="8" xfId="0" applyFont="1" applyBorder="1"/>
    <xf numFmtId="0" fontId="0" fillId="0" borderId="12" xfId="0" applyBorder="1"/>
    <xf numFmtId="0" fontId="0" fillId="15" borderId="15" xfId="0" applyFill="1" applyBorder="1"/>
    <xf numFmtId="0" fontId="0" fillId="15" borderId="16" xfId="0" applyFill="1" applyBorder="1"/>
    <xf numFmtId="0" fontId="0" fillId="15" borderId="18" xfId="0" applyFill="1" applyBorder="1"/>
    <xf numFmtId="0" fontId="33" fillId="15" borderId="0" xfId="0" applyFont="1" applyFill="1" applyAlignment="1">
      <alignment horizontal="right"/>
    </xf>
    <xf numFmtId="0" fontId="0" fillId="15" borderId="14" xfId="0" applyFill="1" applyBorder="1"/>
    <xf numFmtId="0" fontId="33" fillId="15" borderId="14" xfId="0" applyFont="1" applyFill="1" applyBorder="1" applyAlignment="1">
      <alignment horizontal="right"/>
    </xf>
    <xf numFmtId="0" fontId="0" fillId="15" borderId="21" xfId="0" applyFill="1" applyBorder="1"/>
    <xf numFmtId="0" fontId="39" fillId="15" borderId="14" xfId="0" applyFont="1" applyFill="1" applyBorder="1"/>
    <xf numFmtId="0" fontId="45" fillId="6" borderId="0" xfId="2" applyFill="1"/>
    <xf numFmtId="0" fontId="44" fillId="6" borderId="0" xfId="0" applyFont="1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31" fillId="9" borderId="2" xfId="0" applyFont="1" applyFill="1" applyBorder="1" applyAlignment="1">
      <alignment horizontal="center"/>
    </xf>
    <xf numFmtId="0" fontId="34" fillId="9" borderId="3" xfId="0" applyFont="1" applyFill="1" applyBorder="1" applyAlignment="1">
      <alignment horizontal="center"/>
    </xf>
    <xf numFmtId="0" fontId="3" fillId="7" borderId="1" xfId="0" applyFont="1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46" fillId="7" borderId="2" xfId="0" applyFont="1" applyFill="1" applyBorder="1" applyAlignment="1">
      <alignment horizontal="center"/>
    </xf>
    <xf numFmtId="0" fontId="46" fillId="7" borderId="3" xfId="0" applyFont="1" applyFill="1" applyBorder="1" applyAlignment="1">
      <alignment horizontal="center"/>
    </xf>
    <xf numFmtId="0" fontId="3" fillId="7" borderId="22" xfId="0" applyFont="1" applyFill="1" applyBorder="1"/>
    <xf numFmtId="0" fontId="3" fillId="7" borderId="23" xfId="0" applyFont="1" applyFill="1" applyBorder="1"/>
    <xf numFmtId="0" fontId="3" fillId="7" borderId="24" xfId="0" applyFont="1" applyFill="1" applyBorder="1"/>
    <xf numFmtId="0" fontId="3" fillId="7" borderId="26" xfId="0" applyFont="1" applyFill="1" applyBorder="1"/>
    <xf numFmtId="0" fontId="0" fillId="7" borderId="27" xfId="0" applyFill="1" applyBorder="1"/>
    <xf numFmtId="0" fontId="35" fillId="7" borderId="26" xfId="0" applyFont="1" applyFill="1" applyBorder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46" fillId="7" borderId="26" xfId="0" applyFont="1" applyFill="1" applyBorder="1" applyAlignment="1">
      <alignment horizontal="center"/>
    </xf>
    <xf numFmtId="0" fontId="34" fillId="7" borderId="27" xfId="0" applyFont="1" applyFill="1" applyBorder="1" applyAlignment="1">
      <alignment horizontal="center"/>
    </xf>
    <xf numFmtId="0" fontId="46" fillId="7" borderId="0" xfId="0" applyFont="1" applyFill="1"/>
    <xf numFmtId="0" fontId="46" fillId="7" borderId="0" xfId="0" quotePrefix="1" applyFont="1" applyFill="1"/>
    <xf numFmtId="0" fontId="47" fillId="0" borderId="28" xfId="0" applyFont="1" applyBorder="1"/>
    <xf numFmtId="0" fontId="47" fillId="0" borderId="29" xfId="0" applyFont="1" applyBorder="1"/>
    <xf numFmtId="0" fontId="0" fillId="7" borderId="9" xfId="0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47" fillId="0" borderId="30" xfId="0" applyFont="1" applyBorder="1"/>
    <xf numFmtId="0" fontId="0" fillId="0" borderId="31" xfId="0" applyBorder="1"/>
    <xf numFmtId="0" fontId="50" fillId="7" borderId="2" xfId="0" applyFont="1" applyFill="1" applyBorder="1" applyAlignment="1">
      <alignment horizontal="center"/>
    </xf>
    <xf numFmtId="0" fontId="50" fillId="7" borderId="3" xfId="0" applyFont="1" applyFill="1" applyBorder="1" applyAlignment="1">
      <alignment horizontal="center"/>
    </xf>
    <xf numFmtId="0" fontId="50" fillId="7" borderId="0" xfId="0" applyFont="1" applyFill="1"/>
    <xf numFmtId="0" fontId="50" fillId="7" borderId="0" xfId="0" quotePrefix="1" applyFont="1" applyFill="1"/>
    <xf numFmtId="0" fontId="43" fillId="0" borderId="13" xfId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3" xfId="0" applyFont="1" applyFill="1" applyBorder="1" applyAlignment="1">
      <alignment horizontal="center"/>
    </xf>
    <xf numFmtId="0" fontId="51" fillId="7" borderId="0" xfId="0" applyFont="1" applyFill="1"/>
    <xf numFmtId="0" fontId="29" fillId="9" borderId="1" xfId="0" applyFont="1" applyFill="1" applyBorder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48" fillId="8" borderId="1" xfId="0" applyFont="1" applyFill="1" applyBorder="1"/>
    <xf numFmtId="0" fontId="48" fillId="8" borderId="2" xfId="0" applyFont="1" applyFill="1" applyBorder="1"/>
    <xf numFmtId="0" fontId="48" fillId="8" borderId="3" xfId="0" applyFont="1" applyFill="1" applyBorder="1"/>
    <xf numFmtId="0" fontId="19" fillId="7" borderId="0" xfId="0" applyFont="1" applyFill="1"/>
    <xf numFmtId="0" fontId="19" fillId="7" borderId="1" xfId="0" applyFont="1" applyFill="1" applyBorder="1" applyAlignment="1">
      <alignment horizontal="center"/>
    </xf>
    <xf numFmtId="0" fontId="10" fillId="7" borderId="0" xfId="0" applyFont="1" applyFill="1"/>
    <xf numFmtId="0" fontId="3" fillId="7" borderId="0" xfId="0" applyFont="1" applyFill="1"/>
    <xf numFmtId="0" fontId="29" fillId="7" borderId="0" xfId="0" applyFont="1" applyFill="1"/>
    <xf numFmtId="0" fontId="12" fillId="7" borderId="0" xfId="0" applyFont="1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6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right"/>
    </xf>
    <xf numFmtId="0" fontId="1" fillId="15" borderId="0" xfId="0" applyFont="1" applyFill="1"/>
    <xf numFmtId="0" fontId="0" fillId="16" borderId="0" xfId="0" applyFill="1" applyAlignment="1">
      <alignment horizontal="center" shrinkToFit="1"/>
    </xf>
    <xf numFmtId="0" fontId="0" fillId="9" borderId="0" xfId="0" applyFill="1" applyAlignment="1">
      <alignment horizontal="center" shrinkToFit="1"/>
    </xf>
    <xf numFmtId="0" fontId="0" fillId="16" borderId="0" xfId="0" applyFill="1" applyAlignment="1">
      <alignment shrinkToFit="1"/>
    </xf>
    <xf numFmtId="0" fontId="0" fillId="0" borderId="0" xfId="0" applyAlignment="1">
      <alignment shrinkToFit="1"/>
    </xf>
    <xf numFmtId="0" fontId="0" fillId="13" borderId="0" xfId="0" applyFill="1" applyAlignment="1">
      <alignment shrinkToFit="1"/>
    </xf>
    <xf numFmtId="0" fontId="0" fillId="9" borderId="0" xfId="0" applyFill="1" applyAlignment="1">
      <alignment shrinkToFit="1"/>
    </xf>
    <xf numFmtId="0" fontId="0" fillId="17" borderId="0" xfId="0" applyFill="1"/>
    <xf numFmtId="0" fontId="0" fillId="18" borderId="0" xfId="0" applyFill="1"/>
    <xf numFmtId="0" fontId="1" fillId="17" borderId="0" xfId="0" applyFont="1" applyFill="1"/>
    <xf numFmtId="0" fontId="1" fillId="18" borderId="0" xfId="0" applyFont="1" applyFill="1"/>
    <xf numFmtId="0" fontId="52" fillId="17" borderId="0" xfId="0" applyFont="1" applyFill="1" applyAlignment="1">
      <alignment horizontal="right"/>
    </xf>
    <xf numFmtId="0" fontId="52" fillId="17" borderId="32" xfId="0" applyFont="1" applyFill="1" applyBorder="1" applyAlignment="1">
      <alignment horizontal="right"/>
    </xf>
    <xf numFmtId="0" fontId="0" fillId="18" borderId="32" xfId="0" applyFill="1" applyBorder="1"/>
    <xf numFmtId="0" fontId="0" fillId="0" borderId="46" xfId="0" applyBorder="1"/>
    <xf numFmtId="0" fontId="52" fillId="19" borderId="46" xfId="0" applyFont="1" applyFill="1" applyBorder="1"/>
    <xf numFmtId="0" fontId="0" fillId="21" borderId="0" xfId="0" applyFill="1"/>
    <xf numFmtId="0" fontId="52" fillId="21" borderId="0" xfId="0" applyFont="1" applyFill="1"/>
    <xf numFmtId="0" fontId="20" fillId="21" borderId="0" xfId="0" applyFont="1" applyFill="1"/>
    <xf numFmtId="0" fontId="20" fillId="0" borderId="0" xfId="0" applyFont="1" applyAlignment="1">
      <alignment horizontal="center"/>
    </xf>
    <xf numFmtId="0" fontId="20" fillId="21" borderId="0" xfId="0" applyFont="1" applyFill="1" applyAlignment="1">
      <alignment horizontal="center"/>
    </xf>
    <xf numFmtId="0" fontId="0" fillId="0" borderId="40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53" fillId="0" borderId="0" xfId="0" applyFont="1" applyAlignment="1">
      <alignment shrinkToFit="1"/>
    </xf>
    <xf numFmtId="0" fontId="53" fillId="0" borderId="0" xfId="0" applyFont="1"/>
    <xf numFmtId="0" fontId="0" fillId="7" borderId="0" xfId="0" applyFill="1"/>
    <xf numFmtId="0" fontId="1" fillId="7" borderId="0" xfId="0" applyFont="1" applyFill="1"/>
    <xf numFmtId="0" fontId="0" fillId="0" borderId="37" xfId="0" applyBorder="1"/>
    <xf numFmtId="0" fontId="0" fillId="0" borderId="48" xfId="0" applyBorder="1"/>
    <xf numFmtId="0" fontId="1" fillId="15" borderId="37" xfId="0" applyFont="1" applyFill="1" applyBorder="1"/>
    <xf numFmtId="0" fontId="0" fillId="0" borderId="49" xfId="0" applyBorder="1"/>
    <xf numFmtId="0" fontId="0" fillId="0" borderId="11" xfId="0" applyBorder="1"/>
    <xf numFmtId="0" fontId="0" fillId="8" borderId="48" xfId="0" applyFill="1" applyBorder="1"/>
    <xf numFmtId="0" fontId="0" fillId="8" borderId="0" xfId="0" applyFill="1"/>
    <xf numFmtId="0" fontId="31" fillId="0" borderId="0" xfId="0" applyFont="1"/>
    <xf numFmtId="0" fontId="31" fillId="8" borderId="0" xfId="0" applyFont="1" applyFill="1"/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22" borderId="48" xfId="0" applyFill="1" applyBorder="1"/>
    <xf numFmtId="0" fontId="0" fillId="22" borderId="43" xfId="0" applyFill="1" applyBorder="1"/>
    <xf numFmtId="0" fontId="0" fillId="22" borderId="37" xfId="0" applyFill="1" applyBorder="1"/>
    <xf numFmtId="0" fontId="0" fillId="22" borderId="0" xfId="0" applyFill="1"/>
    <xf numFmtId="0" fontId="0" fillId="23" borderId="0" xfId="0" applyFill="1"/>
    <xf numFmtId="0" fontId="0" fillId="8" borderId="42" xfId="0" applyFill="1" applyBorder="1"/>
    <xf numFmtId="0" fontId="31" fillId="22" borderId="0" xfId="0" applyFont="1" applyFill="1"/>
    <xf numFmtId="0" fontId="0" fillId="22" borderId="2" xfId="0" applyFill="1" applyBorder="1"/>
    <xf numFmtId="0" fontId="31" fillId="8" borderId="2" xfId="0" applyFont="1" applyFill="1" applyBorder="1"/>
    <xf numFmtId="0" fontId="0" fillId="0" borderId="45" xfId="0" applyBorder="1"/>
    <xf numFmtId="0" fontId="0" fillId="0" borderId="39" xfId="0" applyBorder="1"/>
    <xf numFmtId="0" fontId="0" fillId="0" borderId="41" xfId="0" applyBorder="1"/>
    <xf numFmtId="0" fontId="0" fillId="9" borderId="2" xfId="0" applyFill="1" applyBorder="1"/>
    <xf numFmtId="0" fontId="0" fillId="9" borderId="3" xfId="0" applyFill="1" applyBorder="1"/>
    <xf numFmtId="0" fontId="0" fillId="9" borderId="33" xfId="0" applyFill="1" applyBorder="1"/>
    <xf numFmtId="0" fontId="0" fillId="20" borderId="0" xfId="0" applyFill="1"/>
    <xf numFmtId="0" fontId="0" fillId="9" borderId="32" xfId="0" applyFill="1" applyBorder="1"/>
    <xf numFmtId="0" fontId="1" fillId="9" borderId="1" xfId="0" applyFont="1" applyFill="1" applyBorder="1"/>
    <xf numFmtId="0" fontId="48" fillId="24" borderId="47" xfId="0" applyFont="1" applyFill="1" applyBorder="1" applyAlignment="1">
      <alignment horizontal="center"/>
    </xf>
    <xf numFmtId="0" fontId="22" fillId="7" borderId="47" xfId="0" applyFont="1" applyFill="1" applyBorder="1" applyAlignment="1">
      <alignment horizontal="center"/>
    </xf>
    <xf numFmtId="0" fontId="48" fillId="25" borderId="47" xfId="0" applyFont="1" applyFill="1" applyBorder="1" applyAlignment="1">
      <alignment horizontal="right"/>
    </xf>
    <xf numFmtId="0" fontId="22" fillId="26" borderId="47" xfId="0" applyFont="1" applyFill="1" applyBorder="1" applyAlignment="1">
      <alignment horizontal="center"/>
    </xf>
    <xf numFmtId="0" fontId="48" fillId="27" borderId="47" xfId="0" applyFont="1" applyFill="1" applyBorder="1" applyAlignment="1">
      <alignment horizontal="right"/>
    </xf>
    <xf numFmtId="0" fontId="22" fillId="8" borderId="47" xfId="0" applyFont="1" applyFill="1" applyBorder="1" applyAlignment="1">
      <alignment horizontal="center"/>
    </xf>
    <xf numFmtId="0" fontId="0" fillId="6" borderId="39" xfId="0" applyFill="1" applyBorder="1"/>
    <xf numFmtId="0" fontId="0" fillId="6" borderId="40" xfId="0" applyFill="1" applyBorder="1"/>
    <xf numFmtId="0" fontId="0" fillId="6" borderId="41" xfId="0" applyFill="1" applyBorder="1" applyAlignment="1">
      <alignment horizontal="right"/>
    </xf>
    <xf numFmtId="0" fontId="1" fillId="6" borderId="42" xfId="0" applyFont="1" applyFill="1" applyBorder="1"/>
    <xf numFmtId="0" fontId="0" fillId="6" borderId="12" xfId="0" applyFill="1" applyBorder="1"/>
    <xf numFmtId="0" fontId="0" fillId="6" borderId="43" xfId="0" applyFill="1" applyBorder="1"/>
    <xf numFmtId="0" fontId="0" fillId="6" borderId="44" xfId="0" applyFill="1" applyBorder="1"/>
    <xf numFmtId="0" fontId="0" fillId="6" borderId="45" xfId="0" applyFill="1" applyBorder="1" applyAlignment="1">
      <alignment horizontal="right"/>
    </xf>
    <xf numFmtId="0" fontId="1" fillId="6" borderId="0" xfId="0" applyFont="1" applyFill="1"/>
    <xf numFmtId="0" fontId="1" fillId="13" borderId="0" xfId="0" applyFont="1" applyFill="1"/>
    <xf numFmtId="0" fontId="1" fillId="9" borderId="0" xfId="0" applyFont="1" applyFill="1"/>
    <xf numFmtId="0" fontId="0" fillId="16" borderId="44" xfId="0" applyFill="1" applyBorder="1"/>
    <xf numFmtId="0" fontId="0" fillId="13" borderId="44" xfId="0" applyFill="1" applyBorder="1"/>
    <xf numFmtId="0" fontId="40" fillId="13" borderId="0" xfId="0" applyFont="1" applyFill="1" applyAlignment="1">
      <alignment horizontal="center" shrinkToFit="1"/>
    </xf>
    <xf numFmtId="0" fontId="52" fillId="21" borderId="0" xfId="0" applyFont="1" applyFill="1" applyAlignment="1">
      <alignment horizontal="right"/>
    </xf>
    <xf numFmtId="0" fontId="0" fillId="9" borderId="0" xfId="0" quotePrefix="1" applyFill="1"/>
    <xf numFmtId="0" fontId="0" fillId="9" borderId="34" xfId="0" applyFill="1" applyBorder="1"/>
    <xf numFmtId="0" fontId="0" fillId="9" borderId="4" xfId="0" applyFill="1" applyBorder="1"/>
    <xf numFmtId="0" fontId="0" fillId="9" borderId="35" xfId="0" applyFill="1" applyBorder="1"/>
    <xf numFmtId="0" fontId="33" fillId="7" borderId="0" xfId="0" applyFont="1" applyFill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4" borderId="12" xfId="0" applyFill="1" applyBorder="1"/>
    <xf numFmtId="0" fontId="0" fillId="14" borderId="43" xfId="0" applyFill="1" applyBorder="1"/>
    <xf numFmtId="0" fontId="0" fillId="14" borderId="44" xfId="0" applyFill="1" applyBorder="1"/>
    <xf numFmtId="0" fontId="0" fillId="14" borderId="45" xfId="0" applyFill="1" applyBorder="1"/>
    <xf numFmtId="0" fontId="0" fillId="0" borderId="19" xfId="0" applyBorder="1"/>
    <xf numFmtId="0" fontId="0" fillId="0" borderId="14" xfId="0" applyBorder="1"/>
    <xf numFmtId="0" fontId="0" fillId="0" borderId="2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4" fillId="8" borderId="0" xfId="0" applyFont="1" applyFill="1"/>
    <xf numFmtId="0" fontId="52" fillId="7" borderId="0" xfId="0" applyFont="1" applyFill="1"/>
    <xf numFmtId="0" fontId="1" fillId="7" borderId="2" xfId="0" applyFont="1" applyFill="1" applyBorder="1" applyAlignment="1">
      <alignment horizontal="center"/>
    </xf>
    <xf numFmtId="0" fontId="23" fillId="7" borderId="33" xfId="0" applyFont="1" applyFill="1" applyBorder="1"/>
    <xf numFmtId="0" fontId="1" fillId="14" borderId="39" xfId="0" applyFont="1" applyFill="1" applyBorder="1"/>
    <xf numFmtId="0" fontId="23" fillId="7" borderId="0" xfId="0" applyFont="1" applyFill="1" applyAlignment="1">
      <alignment horizontal="center"/>
    </xf>
    <xf numFmtId="0" fontId="0" fillId="9" borderId="1" xfId="0" applyFill="1" applyBorder="1"/>
    <xf numFmtId="0" fontId="0" fillId="0" borderId="22" xfId="0" applyBorder="1"/>
    <xf numFmtId="0" fontId="0" fillId="0" borderId="2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56" fillId="0" borderId="32" xfId="0" applyFont="1" applyBorder="1" applyAlignment="1">
      <alignment shrinkToFit="1"/>
    </xf>
    <xf numFmtId="0" fontId="56" fillId="0" borderId="0" xfId="0" applyFont="1" applyAlignment="1">
      <alignment shrinkToFit="1"/>
    </xf>
    <xf numFmtId="0" fontId="55" fillId="0" borderId="0" xfId="0" applyFont="1"/>
    <xf numFmtId="0" fontId="56" fillId="0" borderId="0" xfId="0" applyFont="1"/>
    <xf numFmtId="0" fontId="56" fillId="0" borderId="0" xfId="0" applyFont="1" applyAlignment="1">
      <alignment horizontal="right"/>
    </xf>
    <xf numFmtId="0" fontId="20" fillId="11" borderId="23" xfId="0" applyFont="1" applyFill="1" applyBorder="1"/>
    <xf numFmtId="0" fontId="52" fillId="11" borderId="23" xfId="0" applyFont="1" applyFill="1" applyBorder="1"/>
    <xf numFmtId="0" fontId="20" fillId="11" borderId="24" xfId="0" applyFont="1" applyFill="1" applyBorder="1"/>
    <xf numFmtId="0" fontId="0" fillId="0" borderId="3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9" borderId="55" xfId="0" applyFill="1" applyBorder="1"/>
    <xf numFmtId="0" fontId="0" fillId="2" borderId="55" xfId="0" applyFill="1" applyBorder="1"/>
    <xf numFmtId="0" fontId="52" fillId="11" borderId="23" xfId="0" applyFont="1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2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23" fillId="2" borderId="55" xfId="0" applyFont="1" applyFill="1" applyBorder="1" applyAlignment="1">
      <alignment horizontal="center"/>
    </xf>
    <xf numFmtId="0" fontId="23" fillId="8" borderId="1" xfId="0" applyFont="1" applyFill="1" applyBorder="1" applyAlignment="1">
      <alignment horizontal="center"/>
    </xf>
    <xf numFmtId="0" fontId="57" fillId="20" borderId="0" xfId="0" applyFont="1" applyFill="1"/>
    <xf numFmtId="0" fontId="23" fillId="8" borderId="1" xfId="0" applyFont="1" applyFill="1" applyBorder="1" applyAlignment="1" applyProtection="1">
      <alignment horizontal="center"/>
      <protection locked="0"/>
    </xf>
    <xf numFmtId="0" fontId="11" fillId="13" borderId="2" xfId="0" applyFont="1" applyFill="1" applyBorder="1" applyAlignment="1" applyProtection="1">
      <alignment horizontal="center"/>
      <protection locked="0"/>
    </xf>
    <xf numFmtId="0" fontId="12" fillId="13" borderId="2" xfId="0" applyFont="1" applyFill="1" applyBorder="1" applyAlignment="1" applyProtection="1">
      <alignment horizontal="center"/>
      <protection locked="0"/>
    </xf>
    <xf numFmtId="0" fontId="12" fillId="13" borderId="23" xfId="0" applyFont="1" applyFill="1" applyBorder="1" applyAlignment="1" applyProtection="1">
      <alignment horizontal="center"/>
      <protection locked="0"/>
    </xf>
    <xf numFmtId="0" fontId="12" fillId="13" borderId="3" xfId="0" applyFont="1" applyFill="1" applyBorder="1" applyAlignment="1" applyProtection="1">
      <alignment horizont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0" fontId="1" fillId="10" borderId="2" xfId="0" applyFont="1" applyFill="1" applyBorder="1" applyAlignment="1" applyProtection="1">
      <alignment horizontal="center"/>
      <protection locked="0"/>
    </xf>
    <xf numFmtId="0" fontId="1" fillId="10" borderId="23" xfId="0" applyFont="1" applyFill="1" applyBorder="1" applyAlignment="1" applyProtection="1">
      <alignment horizontal="center"/>
      <protection locked="0"/>
    </xf>
    <xf numFmtId="0" fontId="1" fillId="10" borderId="3" xfId="0" applyFont="1" applyFill="1" applyBorder="1" applyAlignment="1" applyProtection="1">
      <alignment horizontal="center"/>
      <protection locked="0"/>
    </xf>
    <xf numFmtId="0" fontId="1" fillId="8" borderId="22" xfId="0" applyFont="1" applyFill="1" applyBorder="1" applyAlignment="1" applyProtection="1">
      <alignment horizontal="center"/>
      <protection locked="0"/>
    </xf>
    <xf numFmtId="0" fontId="1" fillId="8" borderId="23" xfId="0" applyFont="1" applyFill="1" applyBorder="1" applyAlignment="1" applyProtection="1">
      <alignment horizontal="center"/>
      <protection locked="0"/>
    </xf>
    <xf numFmtId="0" fontId="1" fillId="8" borderId="24" xfId="0" applyFont="1" applyFill="1" applyBorder="1" applyAlignment="1" applyProtection="1">
      <alignment horizontal="center"/>
      <protection locked="0"/>
    </xf>
    <xf numFmtId="0" fontId="29" fillId="9" borderId="1" xfId="0" applyFont="1" applyFill="1" applyBorder="1" applyAlignment="1" applyProtection="1">
      <alignment horizontal="center"/>
      <protection locked="0"/>
    </xf>
    <xf numFmtId="0" fontId="29" fillId="9" borderId="2" xfId="0" applyFont="1" applyFill="1" applyBorder="1" applyAlignment="1" applyProtection="1">
      <alignment horizontal="center"/>
      <protection locked="0"/>
    </xf>
    <xf numFmtId="0" fontId="29" fillId="9" borderId="3" xfId="0" applyFont="1" applyFill="1" applyBorder="1" applyAlignment="1" applyProtection="1">
      <alignment horizontal="center"/>
      <protection locked="0"/>
    </xf>
    <xf numFmtId="0" fontId="48" fillId="22" borderId="23" xfId="0" applyFont="1" applyFill="1" applyBorder="1" applyAlignment="1" applyProtection="1">
      <alignment horizontal="center"/>
      <protection locked="0"/>
    </xf>
    <xf numFmtId="0" fontId="48" fillId="8" borderId="2" xfId="0" applyFont="1" applyFill="1" applyBorder="1" applyAlignment="1" applyProtection="1">
      <alignment horizontal="center"/>
      <protection locked="0"/>
    </xf>
    <xf numFmtId="0" fontId="48" fillId="8" borderId="3" xfId="0" applyFont="1" applyFill="1" applyBorder="1" applyAlignment="1" applyProtection="1">
      <alignment horizontal="center"/>
      <protection locked="0"/>
    </xf>
    <xf numFmtId="0" fontId="0" fillId="0" borderId="56" xfId="0" applyBorder="1"/>
    <xf numFmtId="0" fontId="1" fillId="23" borderId="0" xfId="0" applyFont="1" applyFill="1" applyAlignment="1">
      <alignment textRotation="90"/>
    </xf>
    <xf numFmtId="0" fontId="59" fillId="0" borderId="0" xfId="0" applyFont="1"/>
    <xf numFmtId="0" fontId="59" fillId="0" borderId="44" xfId="0" applyFont="1" applyBorder="1"/>
    <xf numFmtId="0" fontId="40" fillId="22" borderId="0" xfId="0" applyFont="1" applyFill="1"/>
    <xf numFmtId="0" fontId="13" fillId="0" borderId="47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58" fillId="19" borderId="47" xfId="0" applyFont="1" applyFill="1" applyBorder="1" applyAlignment="1">
      <alignment horizontal="right"/>
    </xf>
    <xf numFmtId="0" fontId="13" fillId="7" borderId="47" xfId="0" applyFont="1" applyFill="1" applyBorder="1" applyAlignment="1">
      <alignment horizontal="center"/>
    </xf>
    <xf numFmtId="0" fontId="13" fillId="7" borderId="57" xfId="0" applyFont="1" applyFill="1" applyBorder="1" applyAlignment="1">
      <alignment horizontal="center"/>
    </xf>
    <xf numFmtId="0" fontId="0" fillId="14" borderId="12" xfId="0" applyFill="1" applyBorder="1" applyAlignment="1">
      <alignment horizontal="right" indent="1"/>
    </xf>
    <xf numFmtId="0" fontId="10" fillId="0" borderId="0" xfId="0" applyFont="1"/>
    <xf numFmtId="0" fontId="0" fillId="9" borderId="22" xfId="0" applyFill="1" applyBorder="1"/>
    <xf numFmtId="0" fontId="0" fillId="9" borderId="23" xfId="0" applyFill="1" applyBorder="1"/>
    <xf numFmtId="0" fontId="1" fillId="9" borderId="23" xfId="0" applyFont="1" applyFill="1" applyBorder="1"/>
    <xf numFmtId="0" fontId="0" fillId="9" borderId="24" xfId="0" applyFill="1" applyBorder="1"/>
    <xf numFmtId="0" fontId="1" fillId="9" borderId="4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right"/>
    </xf>
    <xf numFmtId="0" fontId="0" fillId="7" borderId="0" xfId="0" applyFill="1" applyAlignment="1">
      <alignment horizontal="left"/>
    </xf>
    <xf numFmtId="0" fontId="0" fillId="0" borderId="17" xfId="0" applyBorder="1"/>
    <xf numFmtId="0" fontId="62" fillId="6" borderId="0" xfId="0" applyFont="1" applyFill="1"/>
    <xf numFmtId="0" fontId="33" fillId="6" borderId="0" xfId="0" applyFont="1" applyFill="1"/>
    <xf numFmtId="0" fontId="62" fillId="16" borderId="0" xfId="0" applyFont="1" applyFill="1"/>
    <xf numFmtId="0" fontId="33" fillId="16" borderId="0" xfId="0" applyFont="1" applyFill="1"/>
    <xf numFmtId="0" fontId="62" fillId="3" borderId="0" xfId="0" applyFont="1" applyFill="1"/>
    <xf numFmtId="0" fontId="33" fillId="3" borderId="0" xfId="0" applyFont="1" applyFill="1"/>
    <xf numFmtId="0" fontId="0" fillId="0" borderId="58" xfId="0" applyBorder="1"/>
    <xf numFmtId="0" fontId="0" fillId="0" borderId="59" xfId="0" applyBorder="1"/>
    <xf numFmtId="0" fontId="61" fillId="7" borderId="0" xfId="0" applyFont="1" applyFill="1"/>
    <xf numFmtId="0" fontId="62" fillId="7" borderId="0" xfId="0" applyFont="1" applyFill="1"/>
    <xf numFmtId="0" fontId="62" fillId="9" borderId="0" xfId="0" applyFont="1" applyFill="1"/>
    <xf numFmtId="0" fontId="33" fillId="9" borderId="0" xfId="0" applyFont="1" applyFill="1"/>
    <xf numFmtId="0" fontId="0" fillId="0" borderId="60" xfId="0" applyBorder="1"/>
    <xf numFmtId="0" fontId="0" fillId="0" borderId="62" xfId="0" applyBorder="1"/>
    <xf numFmtId="0" fontId="0" fillId="0" borderId="61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63" fillId="0" borderId="64" xfId="0" applyFont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60" fillId="6" borderId="78" xfId="0" applyFont="1" applyFill="1" applyBorder="1"/>
    <xf numFmtId="0" fontId="0" fillId="6" borderId="78" xfId="0" applyFill="1" applyBorder="1"/>
    <xf numFmtId="0" fontId="60" fillId="3" borderId="78" xfId="0" applyFont="1" applyFill="1" applyBorder="1"/>
    <xf numFmtId="0" fontId="0" fillId="3" borderId="78" xfId="0" applyFill="1" applyBorder="1"/>
    <xf numFmtId="0" fontId="60" fillId="16" borderId="78" xfId="0" applyFont="1" applyFill="1" applyBorder="1"/>
    <xf numFmtId="0" fontId="0" fillId="16" borderId="78" xfId="0" applyFill="1" applyBorder="1"/>
    <xf numFmtId="0" fontId="61" fillId="9" borderId="78" xfId="0" applyFont="1" applyFill="1" applyBorder="1"/>
    <xf numFmtId="0" fontId="0" fillId="9" borderId="78" xfId="0" applyFill="1" applyBorder="1"/>
    <xf numFmtId="0" fontId="64" fillId="0" borderId="0" xfId="0" applyFont="1"/>
    <xf numFmtId="0" fontId="0" fillId="0" borderId="80" xfId="0" applyBorder="1"/>
    <xf numFmtId="0" fontId="0" fillId="0" borderId="79" xfId="0" applyBorder="1"/>
    <xf numFmtId="0" fontId="65" fillId="5" borderId="0" xfId="0" applyFont="1" applyFill="1"/>
    <xf numFmtId="0" fontId="0" fillId="5" borderId="72" xfId="0" applyFill="1" applyBorder="1"/>
    <xf numFmtId="0" fontId="40" fillId="5" borderId="0" xfId="0" applyFont="1" applyFill="1"/>
    <xf numFmtId="0" fontId="66" fillId="5" borderId="0" xfId="0" applyFont="1" applyFill="1"/>
    <xf numFmtId="0" fontId="33" fillId="5" borderId="0" xfId="0" applyFont="1" applyFill="1"/>
    <xf numFmtId="0" fontId="0" fillId="0" borderId="81" xfId="0" applyBorder="1"/>
    <xf numFmtId="0" fontId="0" fillId="6" borderId="23" xfId="0" applyFill="1" applyBorder="1"/>
    <xf numFmtId="0" fontId="0" fillId="6" borderId="24" xfId="0" applyFill="1" applyBorder="1"/>
    <xf numFmtId="0" fontId="0" fillId="6" borderId="32" xfId="0" applyFill="1" applyBorder="1"/>
    <xf numFmtId="0" fontId="0" fillId="6" borderId="33" xfId="0" applyFill="1" applyBorder="1"/>
    <xf numFmtId="0" fontId="0" fillId="6" borderId="82" xfId="0" applyFill="1" applyBorder="1"/>
    <xf numFmtId="0" fontId="0" fillId="6" borderId="34" xfId="0" applyFill="1" applyBorder="1"/>
    <xf numFmtId="0" fontId="0" fillId="6" borderId="4" xfId="0" applyFill="1" applyBorder="1"/>
    <xf numFmtId="0" fontId="0" fillId="6" borderId="35" xfId="0" applyFill="1" applyBorder="1"/>
    <xf numFmtId="0" fontId="0" fillId="30" borderId="22" xfId="0" applyFill="1" applyBorder="1"/>
    <xf numFmtId="0" fontId="0" fillId="30" borderId="23" xfId="0" applyFill="1" applyBorder="1"/>
    <xf numFmtId="0" fontId="0" fillId="30" borderId="24" xfId="0" applyFill="1" applyBorder="1"/>
    <xf numFmtId="0" fontId="0" fillId="30" borderId="32" xfId="0" applyFill="1" applyBorder="1"/>
    <xf numFmtId="0" fontId="0" fillId="30" borderId="0" xfId="0" applyFill="1"/>
    <xf numFmtId="0" fontId="1" fillId="30" borderId="0" xfId="0" applyFont="1" applyFill="1" applyAlignment="1">
      <alignment horizontal="right"/>
    </xf>
    <xf numFmtId="0" fontId="0" fillId="30" borderId="33" xfId="0" applyFill="1" applyBorder="1"/>
    <xf numFmtId="0" fontId="0" fillId="30" borderId="82" xfId="0" applyFill="1" applyBorder="1"/>
    <xf numFmtId="0" fontId="0" fillId="30" borderId="44" xfId="0" applyFill="1" applyBorder="1"/>
    <xf numFmtId="0" fontId="0" fillId="30" borderId="37" xfId="0" applyFill="1" applyBorder="1"/>
    <xf numFmtId="0" fontId="1" fillId="30" borderId="0" xfId="0" applyFont="1" applyFill="1"/>
    <xf numFmtId="0" fontId="0" fillId="30" borderId="34" xfId="0" applyFill="1" applyBorder="1"/>
    <xf numFmtId="0" fontId="0" fillId="30" borderId="4" xfId="0" applyFill="1" applyBorder="1"/>
    <xf numFmtId="0" fontId="0" fillId="30" borderId="35" xfId="0" applyFill="1" applyBorder="1"/>
    <xf numFmtId="0" fontId="1" fillId="30" borderId="82" xfId="0" applyFont="1" applyFill="1" applyBorder="1" applyAlignment="1">
      <alignment horizontal="center"/>
    </xf>
    <xf numFmtId="0" fontId="67" fillId="30" borderId="23" xfId="0" applyFont="1" applyFill="1" applyBorder="1"/>
    <xf numFmtId="0" fontId="68" fillId="30" borderId="23" xfId="0" applyFont="1" applyFill="1" applyBorder="1"/>
    <xf numFmtId="0" fontId="68" fillId="6" borderId="22" xfId="0" applyFont="1" applyFill="1" applyBorder="1"/>
    <xf numFmtId="0" fontId="69" fillId="30" borderId="23" xfId="0" applyFont="1" applyFill="1" applyBorder="1"/>
    <xf numFmtId="0" fontId="0" fillId="6" borderId="83" xfId="0" applyFill="1" applyBorder="1"/>
    <xf numFmtId="0" fontId="0" fillId="6" borderId="84" xfId="0" applyFill="1" applyBorder="1"/>
    <xf numFmtId="0" fontId="0" fillId="3" borderId="82" xfId="0" applyFill="1" applyBorder="1"/>
    <xf numFmtId="0" fontId="0" fillId="30" borderId="0" xfId="0" applyFill="1" applyAlignment="1">
      <alignment horizontal="left"/>
    </xf>
    <xf numFmtId="0" fontId="23" fillId="0" borderId="0" xfId="0" applyFont="1"/>
    <xf numFmtId="0" fontId="0" fillId="3" borderId="78" xfId="0" applyFill="1" applyBorder="1" applyAlignment="1">
      <alignment horizontal="center"/>
    </xf>
    <xf numFmtId="0" fontId="23" fillId="0" borderId="71" xfId="0" applyFont="1" applyBorder="1" applyAlignment="1">
      <alignment horizontal="right"/>
    </xf>
    <xf numFmtId="0" fontId="0" fillId="9" borderId="78" xfId="0" applyFill="1" applyBorder="1" applyProtection="1">
      <protection locked="0"/>
    </xf>
    <xf numFmtId="0" fontId="23" fillId="3" borderId="78" xfId="0" applyFont="1" applyFill="1" applyBorder="1" applyAlignment="1" applyProtection="1">
      <alignment horizontal="center"/>
      <protection locked="0"/>
    </xf>
    <xf numFmtId="0" fontId="1" fillId="6" borderId="78" xfId="0" applyFont="1" applyFill="1" applyBorder="1" applyAlignment="1">
      <alignment horizontal="center"/>
    </xf>
    <xf numFmtId="0" fontId="0" fillId="16" borderId="78" xfId="0" applyFill="1" applyBorder="1" applyAlignment="1">
      <alignment horizontal="center"/>
    </xf>
    <xf numFmtId="0" fontId="40" fillId="0" borderId="0" xfId="0" applyFont="1"/>
    <xf numFmtId="0" fontId="0" fillId="31" borderId="82" xfId="0" applyFill="1" applyBorder="1"/>
    <xf numFmtId="0" fontId="72" fillId="0" borderId="0" xfId="0" applyFont="1"/>
    <xf numFmtId="49" fontId="26" fillId="0" borderId="0" xfId="0" applyNumberFormat="1" applyFont="1" applyAlignment="1">
      <alignment horizontal="center" vertical="center"/>
    </xf>
    <xf numFmtId="0" fontId="0" fillId="0" borderId="7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22" fillId="8" borderId="1" xfId="0" applyFont="1" applyFill="1" applyBorder="1" applyAlignment="1">
      <alignment horizontal="center"/>
    </xf>
    <xf numFmtId="0" fontId="22" fillId="8" borderId="2" xfId="0" applyFont="1" applyFill="1" applyBorder="1" applyAlignment="1">
      <alignment horizontal="center"/>
    </xf>
    <xf numFmtId="0" fontId="22" fillId="8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47" fillId="9" borderId="29" xfId="0" applyFont="1" applyFill="1" applyBorder="1" applyAlignment="1">
      <alignment horizontal="center"/>
    </xf>
    <xf numFmtId="0" fontId="47" fillId="0" borderId="29" xfId="0" applyFont="1" applyBorder="1" applyAlignment="1">
      <alignment horizontal="center"/>
    </xf>
    <xf numFmtId="0" fontId="47" fillId="0" borderId="30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2" fillId="0" borderId="8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41" fillId="15" borderId="0" xfId="0" applyFont="1" applyFill="1" applyAlignment="1">
      <alignment horizontal="right"/>
    </xf>
    <xf numFmtId="0" fontId="41" fillId="15" borderId="19" xfId="0" applyFont="1" applyFill="1" applyBorder="1" applyAlignment="1">
      <alignment horizontal="right"/>
    </xf>
    <xf numFmtId="0" fontId="40" fillId="15" borderId="16" xfId="0" applyFont="1" applyFill="1" applyBorder="1" applyAlignment="1">
      <alignment horizontal="center"/>
    </xf>
    <xf numFmtId="0" fontId="40" fillId="15" borderId="17" xfId="0" applyFont="1" applyFill="1" applyBorder="1" applyAlignment="1">
      <alignment horizontal="center"/>
    </xf>
    <xf numFmtId="0" fontId="40" fillId="15" borderId="14" xfId="0" applyFont="1" applyFill="1" applyBorder="1" applyAlignment="1">
      <alignment horizontal="center"/>
    </xf>
    <xf numFmtId="0" fontId="40" fillId="15" borderId="20" xfId="0" applyFont="1" applyFill="1" applyBorder="1" applyAlignment="1">
      <alignment horizontal="center"/>
    </xf>
    <xf numFmtId="0" fontId="37" fillId="15" borderId="14" xfId="0" applyFont="1" applyFill="1" applyBorder="1" applyAlignment="1">
      <alignment horizontal="right"/>
    </xf>
    <xf numFmtId="0" fontId="37" fillId="15" borderId="20" xfId="0" applyFont="1" applyFill="1" applyBorder="1" applyAlignment="1">
      <alignment horizontal="right"/>
    </xf>
    <xf numFmtId="0" fontId="41" fillId="15" borderId="14" xfId="0" applyFont="1" applyFill="1" applyBorder="1" applyAlignment="1">
      <alignment horizontal="right"/>
    </xf>
    <xf numFmtId="0" fontId="41" fillId="15" borderId="20" xfId="0" applyFont="1" applyFill="1" applyBorder="1" applyAlignment="1">
      <alignment horizontal="right"/>
    </xf>
    <xf numFmtId="0" fontId="3" fillId="13" borderId="1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/>
    </xf>
    <xf numFmtId="0" fontId="0" fillId="28" borderId="32" xfId="0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15" borderId="36" xfId="0" applyFill="1" applyBorder="1" applyAlignment="1">
      <alignment horizontal="center"/>
    </xf>
    <xf numFmtId="0" fontId="0" fillId="15" borderId="37" xfId="0" applyFill="1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5" borderId="0" xfId="0" quotePrefix="1" applyFill="1" applyAlignment="1">
      <alignment horizontal="center"/>
    </xf>
    <xf numFmtId="0" fontId="0" fillId="15" borderId="12" xfId="0" quotePrefix="1" applyFill="1" applyBorder="1" applyAlignment="1">
      <alignment horizontal="center"/>
    </xf>
    <xf numFmtId="0" fontId="1" fillId="15" borderId="0" xfId="0" applyFont="1" applyFill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1" fillId="15" borderId="38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" fillId="18" borderId="12" xfId="0" applyFont="1" applyFill="1" applyBorder="1" applyAlignment="1">
      <alignment horizontal="center"/>
    </xf>
    <xf numFmtId="0" fontId="0" fillId="6" borderId="36" xfId="0" applyFill="1" applyBorder="1" applyAlignment="1">
      <alignment horizontal="right"/>
    </xf>
    <xf numFmtId="0" fontId="0" fillId="6" borderId="38" xfId="0" applyFill="1" applyBorder="1" applyAlignment="1">
      <alignment horizontal="right"/>
    </xf>
    <xf numFmtId="0" fontId="1" fillId="23" borderId="0" xfId="0" applyFont="1" applyFill="1" applyAlignment="1">
      <alignment horizontal="center"/>
    </xf>
    <xf numFmtId="0" fontId="0" fillId="7" borderId="0" xfId="0" applyFill="1" applyAlignment="1">
      <alignment horizontal="center" textRotation="90"/>
    </xf>
    <xf numFmtId="0" fontId="1" fillId="23" borderId="0" xfId="0" applyFont="1" applyFill="1" applyAlignment="1">
      <alignment horizontal="center" textRotation="90"/>
    </xf>
    <xf numFmtId="0" fontId="70" fillId="0" borderId="22" xfId="0" applyFont="1" applyBorder="1" applyAlignment="1">
      <alignment horizontal="center"/>
    </xf>
    <xf numFmtId="0" fontId="70" fillId="0" borderId="24" xfId="0" applyFont="1" applyBorder="1" applyAlignment="1">
      <alignment horizontal="center"/>
    </xf>
    <xf numFmtId="0" fontId="70" fillId="0" borderId="32" xfId="0" applyFont="1" applyBorder="1" applyAlignment="1">
      <alignment horizontal="center"/>
    </xf>
    <xf numFmtId="0" fontId="70" fillId="0" borderId="33" xfId="0" applyFont="1" applyBorder="1" applyAlignment="1">
      <alignment horizontal="center"/>
    </xf>
    <xf numFmtId="0" fontId="71" fillId="0" borderId="32" xfId="0" applyFont="1" applyBorder="1" applyAlignment="1">
      <alignment horizontal="center"/>
    </xf>
    <xf numFmtId="0" fontId="71" fillId="0" borderId="33" xfId="0" applyFont="1" applyBorder="1" applyAlignment="1">
      <alignment horizontal="center"/>
    </xf>
    <xf numFmtId="0" fontId="71" fillId="0" borderId="34" xfId="0" applyFont="1" applyBorder="1" applyAlignment="1">
      <alignment horizontal="center"/>
    </xf>
    <xf numFmtId="0" fontId="71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  <xf numFmtId="0" fontId="33" fillId="0" borderId="0" xfId="0" applyFont="1" applyFill="1" applyBorder="1" applyAlignment="1">
      <alignment horizontal="right"/>
    </xf>
    <xf numFmtId="0" fontId="73" fillId="8" borderId="1" xfId="0" applyFont="1" applyFill="1" applyBorder="1" applyAlignment="1">
      <alignment horizontal="center"/>
    </xf>
    <xf numFmtId="0" fontId="73" fillId="8" borderId="2" xfId="0" applyFont="1" applyFill="1" applyBorder="1" applyAlignment="1">
      <alignment horizontal="center"/>
    </xf>
    <xf numFmtId="0" fontId="33" fillId="10" borderId="1" xfId="0" applyFont="1" applyFill="1" applyBorder="1" applyAlignment="1">
      <alignment horizontal="center"/>
    </xf>
    <xf numFmtId="0" fontId="33" fillId="10" borderId="2" xfId="0" applyFont="1" applyFill="1" applyBorder="1" applyAlignment="1">
      <alignment horizontal="center"/>
    </xf>
    <xf numFmtId="0" fontId="33" fillId="10" borderId="3" xfId="0" applyFont="1" applyFill="1" applyBorder="1" applyAlignment="1">
      <alignment horizontal="center"/>
    </xf>
    <xf numFmtId="0" fontId="33" fillId="8" borderId="1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9" borderId="1" xfId="0" applyFont="1" applyFill="1" applyBorder="1" applyAlignment="1">
      <alignment horizontal="center"/>
    </xf>
    <xf numFmtId="0" fontId="33" fillId="9" borderId="2" xfId="0" applyFont="1" applyFill="1" applyBorder="1" applyAlignment="1">
      <alignment horizontal="center"/>
    </xf>
    <xf numFmtId="0" fontId="33" fillId="9" borderId="3" xfId="0" applyFont="1" applyFill="1" applyBorder="1" applyAlignment="1">
      <alignment horizontal="center"/>
    </xf>
    <xf numFmtId="0" fontId="33" fillId="8" borderId="3" xfId="0" applyFont="1" applyFill="1" applyBorder="1" applyAlignment="1">
      <alignment horizontal="center"/>
    </xf>
    <xf numFmtId="0" fontId="74" fillId="8" borderId="1" xfId="0" applyFont="1" applyFill="1" applyBorder="1" applyAlignment="1">
      <alignment horizontal="center"/>
    </xf>
    <xf numFmtId="0" fontId="74" fillId="8" borderId="2" xfId="0" applyFont="1" applyFill="1" applyBorder="1" applyAlignment="1">
      <alignment horizontal="center"/>
    </xf>
    <xf numFmtId="0" fontId="74" fillId="8" borderId="3" xfId="0" applyFont="1" applyFill="1" applyBorder="1" applyAlignment="1">
      <alignment horizontal="center"/>
    </xf>
    <xf numFmtId="0" fontId="74" fillId="13" borderId="1" xfId="0" applyFont="1" applyFill="1" applyBorder="1" applyAlignment="1">
      <alignment horizontal="center"/>
    </xf>
    <xf numFmtId="0" fontId="74" fillId="13" borderId="2" xfId="0" applyFont="1" applyFill="1" applyBorder="1" applyAlignment="1">
      <alignment horizontal="center"/>
    </xf>
    <xf numFmtId="0" fontId="74" fillId="13" borderId="3" xfId="0" applyFont="1" applyFill="1" applyBorder="1" applyAlignment="1">
      <alignment horizontal="center"/>
    </xf>
    <xf numFmtId="0" fontId="74" fillId="10" borderId="1" xfId="0" applyFont="1" applyFill="1" applyBorder="1" applyAlignment="1">
      <alignment horizontal="center"/>
    </xf>
    <xf numFmtId="0" fontId="74" fillId="10" borderId="2" xfId="0" applyFont="1" applyFill="1" applyBorder="1" applyAlignment="1">
      <alignment horizontal="center"/>
    </xf>
    <xf numFmtId="0" fontId="74" fillId="10" borderId="3" xfId="0" applyFont="1" applyFill="1" applyBorder="1" applyAlignment="1">
      <alignment horizontal="center"/>
    </xf>
    <xf numFmtId="0" fontId="73" fillId="13" borderId="1" xfId="0" applyFont="1" applyFill="1" applyBorder="1" applyAlignment="1">
      <alignment horizontal="center"/>
    </xf>
    <xf numFmtId="0" fontId="73" fillId="13" borderId="2" xfId="0" applyFont="1" applyFill="1" applyBorder="1" applyAlignment="1">
      <alignment horizontal="center"/>
    </xf>
    <xf numFmtId="0" fontId="73" fillId="13" borderId="3" xfId="0" applyFont="1" applyFill="1" applyBorder="1" applyAlignment="1">
      <alignment horizontal="center"/>
    </xf>
    <xf numFmtId="0" fontId="73" fillId="10" borderId="1" xfId="0" applyFont="1" applyFill="1" applyBorder="1" applyAlignment="1">
      <alignment horizontal="center"/>
    </xf>
    <xf numFmtId="0" fontId="73" fillId="10" borderId="2" xfId="0" applyFont="1" applyFill="1" applyBorder="1" applyAlignment="1">
      <alignment horizontal="center"/>
    </xf>
    <xf numFmtId="0" fontId="73" fillId="10" borderId="3" xfId="0" applyFont="1" applyFill="1" applyBorder="1" applyAlignment="1">
      <alignment horizontal="center"/>
    </xf>
    <xf numFmtId="0" fontId="74" fillId="9" borderId="1" xfId="0" applyFont="1" applyFill="1" applyBorder="1" applyAlignment="1">
      <alignment horizontal="center"/>
    </xf>
    <xf numFmtId="0" fontId="74" fillId="9" borderId="2" xfId="0" applyFont="1" applyFill="1" applyBorder="1" applyAlignment="1">
      <alignment horizontal="center"/>
    </xf>
    <xf numFmtId="0" fontId="74" fillId="9" borderId="3" xfId="0" applyFont="1" applyFill="1" applyBorder="1" applyAlignment="1">
      <alignment horizontal="center"/>
    </xf>
    <xf numFmtId="0" fontId="27" fillId="14" borderId="85" xfId="0" applyFont="1" applyFill="1" applyBorder="1" applyAlignment="1">
      <alignment horizontal="center" justifyLastLine="1" shrinkToFit="1"/>
    </xf>
    <xf numFmtId="0" fontId="22" fillId="7" borderId="85" xfId="0" applyFont="1" applyFill="1" applyBorder="1"/>
    <xf numFmtId="0" fontId="0" fillId="14" borderId="85" xfId="0" applyFill="1" applyBorder="1" applyAlignment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52">
    <dxf>
      <font>
        <color theme="2" tint="-0.499984740745262"/>
      </font>
      <fill>
        <patternFill>
          <bgColor rgb="FFFFFF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 patternType="lightHorizontal">
          <bgColor theme="8" tint="0.79995117038483843"/>
        </patternFill>
      </fill>
    </dxf>
    <dxf>
      <fill>
        <patternFill>
          <bgColor theme="7" tint="0.79998168889431442"/>
        </patternFill>
      </fill>
    </dxf>
    <dxf>
      <fill>
        <patternFill patternType="lightVertical">
          <bgColor theme="0" tint="-0.24994659260841701"/>
        </patternFill>
      </fill>
    </dxf>
    <dxf>
      <fill>
        <patternFill patternType="lightHorizontal">
          <bgColor theme="0" tint="-0.34998626667073579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Vertical">
          <bgColor theme="0" tint="-0.14996795556505021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5117038483843"/>
        </patternFill>
      </fill>
    </dxf>
    <dxf>
      <fill>
        <patternFill patternType="lightHorizontal">
          <bgColor theme="8" tint="0.79998168889431442"/>
        </patternFill>
      </fill>
    </dxf>
    <dxf>
      <fill>
        <patternFill patternType="lightHorizontal">
          <bgColor theme="5" tint="0.39988402966399123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CC"/>
        </patternFill>
      </fill>
    </dxf>
    <dxf>
      <fill>
        <patternFill>
          <bgColor theme="6" tint="0.79998168889431442"/>
        </patternFill>
      </fill>
    </dxf>
    <dxf>
      <fill>
        <patternFill>
          <bgColor rgb="FFFFFFCC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99"/>
      <color rgb="FFCC9900"/>
      <color rgb="FFFFFFCC"/>
      <color rgb="FF99FF99"/>
      <color rgb="FFFFFFFF"/>
      <color rgb="FFFF99CC"/>
      <color rgb="FFFF66CC"/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emf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6.png"/><Relationship Id="rId18" Type="http://schemas.openxmlformats.org/officeDocument/2006/relationships/customXml" Target="../ink/ink11.xml"/><Relationship Id="rId26" Type="http://schemas.openxmlformats.org/officeDocument/2006/relationships/customXml" Target="../ink/ink19.xml"/><Relationship Id="rId3" Type="http://schemas.openxmlformats.org/officeDocument/2006/relationships/customXml" Target="../ink/ink2.xml"/><Relationship Id="rId21" Type="http://schemas.openxmlformats.org/officeDocument/2006/relationships/customXml" Target="../ink/ink14.xml"/><Relationship Id="rId7" Type="http://schemas.openxmlformats.org/officeDocument/2006/relationships/customXml" Target="../ink/ink4.xml"/><Relationship Id="rId12" Type="http://schemas.openxmlformats.org/officeDocument/2006/relationships/image" Target="../media/image12.png"/><Relationship Id="rId17" Type="http://schemas.openxmlformats.org/officeDocument/2006/relationships/customXml" Target="../ink/ink10.xml"/><Relationship Id="rId25" Type="http://schemas.openxmlformats.org/officeDocument/2006/relationships/customXml" Target="../ink/ink18.xml"/><Relationship Id="rId2" Type="http://schemas.openxmlformats.org/officeDocument/2006/relationships/image" Target="../media/image7.png"/><Relationship Id="rId16" Type="http://schemas.openxmlformats.org/officeDocument/2006/relationships/customXml" Target="../ink/ink9.xml"/><Relationship Id="rId20" Type="http://schemas.openxmlformats.org/officeDocument/2006/relationships/customXml" Target="../ink/ink13.xml"/><Relationship Id="rId1" Type="http://schemas.openxmlformats.org/officeDocument/2006/relationships/customXml" Target="../ink/ink1.xml"/><Relationship Id="rId6" Type="http://schemas.openxmlformats.org/officeDocument/2006/relationships/image" Target="../media/image9.png"/><Relationship Id="rId11" Type="http://schemas.openxmlformats.org/officeDocument/2006/relationships/customXml" Target="../ink/ink6.xml"/><Relationship Id="rId24" Type="http://schemas.openxmlformats.org/officeDocument/2006/relationships/customXml" Target="../ink/ink17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6.xml"/><Relationship Id="rId10" Type="http://schemas.openxmlformats.org/officeDocument/2006/relationships/image" Target="../media/image11.png"/><Relationship Id="rId19" Type="http://schemas.openxmlformats.org/officeDocument/2006/relationships/customXml" Target="../ink/ink12.xml"/><Relationship Id="rId4" Type="http://schemas.openxmlformats.org/officeDocument/2006/relationships/image" Target="../media/image8.png"/><Relationship Id="rId9" Type="http://schemas.openxmlformats.org/officeDocument/2006/relationships/customXml" Target="../ink/ink5.xml"/><Relationship Id="rId14" Type="http://schemas.openxmlformats.org/officeDocument/2006/relationships/customXml" Target="../ink/ink7.xml"/><Relationship Id="rId22" Type="http://schemas.openxmlformats.org/officeDocument/2006/relationships/customXml" Target="../ink/ink15.xml"/><Relationship Id="rId27" Type="http://schemas.openxmlformats.org/officeDocument/2006/relationships/customXml" Target="../ink/ink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ustomXml" Target="../ink/ink22.xml"/><Relationship Id="rId13" Type="http://schemas.openxmlformats.org/officeDocument/2006/relationships/image" Target="../media/image14.png"/><Relationship Id="rId18" Type="http://schemas.openxmlformats.org/officeDocument/2006/relationships/customXml" Target="../ink/ink26.xml"/><Relationship Id="rId7" Type="http://schemas.openxmlformats.org/officeDocument/2006/relationships/image" Target="../media/image15.png"/><Relationship Id="rId12" Type="http://schemas.openxmlformats.org/officeDocument/2006/relationships/image" Target="../media/image13.png"/><Relationship Id="rId17" Type="http://schemas.openxmlformats.org/officeDocument/2006/relationships/image" Target="../media/image19.png"/><Relationship Id="rId25" Type="http://schemas.openxmlformats.org/officeDocument/2006/relationships/customXml" Target="../ink/ink28.xml"/><Relationship Id="rId16" Type="http://schemas.openxmlformats.org/officeDocument/2006/relationships/image" Target="../media/image18.png"/><Relationship Id="rId20" Type="http://schemas.openxmlformats.org/officeDocument/2006/relationships/customXml" Target="../ink/ink27.xml"/><Relationship Id="rId29" Type="http://schemas.openxmlformats.org/officeDocument/2006/relationships/customXml" Target="../ink/ink29.xml"/><Relationship Id="rId1" Type="http://schemas.openxmlformats.org/officeDocument/2006/relationships/customXml" Target="../ink/ink21.xml"/><Relationship Id="rId11" Type="http://schemas.openxmlformats.org/officeDocument/2006/relationships/customXml" Target="../ink/ink24.xml"/><Relationship Id="rId24" Type="http://schemas.openxmlformats.org/officeDocument/2006/relationships/image" Target="../media/image21.png"/><Relationship Id="rId15" Type="http://schemas.openxmlformats.org/officeDocument/2006/relationships/image" Target="../media/image17.png"/><Relationship Id="rId23" Type="http://schemas.openxmlformats.org/officeDocument/2006/relationships/image" Target="../media/image22.png"/><Relationship Id="rId28" Type="http://schemas.openxmlformats.org/officeDocument/2006/relationships/image" Target="../media/image25.png"/><Relationship Id="rId10" Type="http://schemas.openxmlformats.org/officeDocument/2006/relationships/customXml" Target="../ink/ink23.xml"/><Relationship Id="rId19" Type="http://schemas.openxmlformats.org/officeDocument/2006/relationships/image" Target="../media/image20.png"/><Relationship Id="rId9" Type="http://schemas.openxmlformats.org/officeDocument/2006/relationships/image" Target="../media/image16.png"/><Relationship Id="rId14" Type="http://schemas.openxmlformats.org/officeDocument/2006/relationships/customXml" Target="../ink/ink25.xml"/><Relationship Id="rId30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svg"/><Relationship Id="rId1" Type="http://schemas.openxmlformats.org/officeDocument/2006/relationships/image" Target="../media/image2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148685</xdr:colOff>
      <xdr:row>47</xdr:row>
      <xdr:rowOff>199792</xdr:rowOff>
    </xdr:from>
    <xdr:to>
      <xdr:col>13</xdr:col>
      <xdr:colOff>148685</xdr:colOff>
      <xdr:row>48</xdr:row>
      <xdr:rowOff>181207</xdr:rowOff>
    </xdr:to>
    <xdr:pic>
      <xdr:nvPicPr>
        <xdr:cNvPr id="3" name="Graphic 2" descr="Right pointing backhand index with solid fill">
          <a:extLst>
            <a:ext uri="{FF2B5EF4-FFF2-40B4-BE49-F238E27FC236}">
              <a16:creationId xmlns:a16="http://schemas.microsoft.com/office/drawing/2014/main" id="{F406E631-5996-FB9B-B2BE-7CE02EFB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1965" y="2550841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134745</xdr:colOff>
      <xdr:row>3</xdr:row>
      <xdr:rowOff>4647</xdr:rowOff>
    </xdr:from>
    <xdr:to>
      <xdr:col>13</xdr:col>
      <xdr:colOff>134745</xdr:colOff>
      <xdr:row>3</xdr:row>
      <xdr:rowOff>185854</xdr:rowOff>
    </xdr:to>
    <xdr:pic>
      <xdr:nvPicPr>
        <xdr:cNvPr id="4" name="Graphic 3" descr="Right pointing backhand index with solid fill">
          <a:extLst>
            <a:ext uri="{FF2B5EF4-FFF2-40B4-BE49-F238E27FC236}">
              <a16:creationId xmlns:a16="http://schemas.microsoft.com/office/drawing/2014/main" id="{5FBD5133-8601-46C5-980E-7C1146918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8025" y="204440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3</xdr:col>
      <xdr:colOff>83633</xdr:colOff>
      <xdr:row>45</xdr:row>
      <xdr:rowOff>51111</xdr:rowOff>
    </xdr:from>
    <xdr:to>
      <xdr:col>4</xdr:col>
      <xdr:colOff>74294</xdr:colOff>
      <xdr:row>46</xdr:row>
      <xdr:rowOff>31792</xdr:rowOff>
    </xdr:to>
    <xdr:pic>
      <xdr:nvPicPr>
        <xdr:cNvPr id="5" name="Graphic 4" descr="Right pointing backhand index with solid fill">
          <a:extLst>
            <a:ext uri="{FF2B5EF4-FFF2-40B4-BE49-F238E27FC236}">
              <a16:creationId xmlns:a16="http://schemas.microsoft.com/office/drawing/2014/main" id="{E42C8A30-4055-49CE-B9B8-C604085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446048" y="1830660"/>
          <a:ext cx="181207" cy="181207"/>
        </a:xfrm>
        <a:prstGeom prst="rect">
          <a:avLst/>
        </a:prstGeom>
      </xdr:spPr>
    </xdr:pic>
    <xdr:clientData/>
  </xdr:twoCellAnchor>
  <xdr:oneCellAnchor>
    <xdr:from>
      <xdr:col>12</xdr:col>
      <xdr:colOff>148685</xdr:colOff>
      <xdr:row>30</xdr:row>
      <xdr:rowOff>199792</xdr:rowOff>
    </xdr:from>
    <xdr:ext cx="179614" cy="182800"/>
    <xdr:pic>
      <xdr:nvPicPr>
        <xdr:cNvPr id="2" name="Graphic 1" descr="Right pointing backhand index with solid fill">
          <a:extLst>
            <a:ext uri="{FF2B5EF4-FFF2-40B4-BE49-F238E27FC236}">
              <a16:creationId xmlns:a16="http://schemas.microsoft.com/office/drawing/2014/main" id="{18EB5E4B-8B8C-4162-8B1D-C6845051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3166149"/>
          <a:ext cx="179614" cy="182800"/>
        </a:xfrm>
        <a:prstGeom prst="rect">
          <a:avLst/>
        </a:prstGeom>
      </xdr:spPr>
    </xdr:pic>
    <xdr:clientData/>
  </xdr:oneCellAnchor>
  <xdr:oneCellAnchor>
    <xdr:from>
      <xdr:col>3</xdr:col>
      <xdr:colOff>83633</xdr:colOff>
      <xdr:row>28</xdr:row>
      <xdr:rowOff>51111</xdr:rowOff>
    </xdr:from>
    <xdr:ext cx="181161" cy="182066"/>
    <xdr:pic>
      <xdr:nvPicPr>
        <xdr:cNvPr id="6" name="Graphic 5" descr="Right pointing backhand index with solid fill">
          <a:extLst>
            <a:ext uri="{FF2B5EF4-FFF2-40B4-BE49-F238E27FC236}">
              <a16:creationId xmlns:a16="http://schemas.microsoft.com/office/drawing/2014/main" id="{1DC99BB5-7CF3-44C5-BDBD-75152485E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622476" y="2603811"/>
          <a:ext cx="181161" cy="182066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14</xdr:row>
      <xdr:rowOff>199792</xdr:rowOff>
    </xdr:from>
    <xdr:ext cx="179614" cy="182800"/>
    <xdr:pic>
      <xdr:nvPicPr>
        <xdr:cNvPr id="7" name="Graphic 6" descr="Right pointing backhand index with solid fill">
          <a:extLst>
            <a:ext uri="{FF2B5EF4-FFF2-40B4-BE49-F238E27FC236}">
              <a16:creationId xmlns:a16="http://schemas.microsoft.com/office/drawing/2014/main" id="{81FF8EEC-F68B-41EF-A351-1FAF06219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6203263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65</xdr:row>
      <xdr:rowOff>199792</xdr:rowOff>
    </xdr:from>
    <xdr:ext cx="179614" cy="182800"/>
    <xdr:pic>
      <xdr:nvPicPr>
        <xdr:cNvPr id="9" name="Graphic 8" descr="Right pointing backhand index with solid fill">
          <a:extLst>
            <a:ext uri="{FF2B5EF4-FFF2-40B4-BE49-F238E27FC236}">
              <a16:creationId xmlns:a16="http://schemas.microsoft.com/office/drawing/2014/main" id="{6C6A836C-6978-442C-94A4-36E023CE1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9626821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80</xdr:row>
      <xdr:rowOff>199792</xdr:rowOff>
    </xdr:from>
    <xdr:ext cx="179614" cy="182800"/>
    <xdr:pic>
      <xdr:nvPicPr>
        <xdr:cNvPr id="11" name="Graphic 10" descr="Right pointing backhand index with solid fill">
          <a:extLst>
            <a:ext uri="{FF2B5EF4-FFF2-40B4-BE49-F238E27FC236}">
              <a16:creationId xmlns:a16="http://schemas.microsoft.com/office/drawing/2014/main" id="{B0FF1A53-9462-4565-8FE0-64E3CF839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13202778"/>
          <a:ext cx="179614" cy="182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100</xdr:col>
      <xdr:colOff>10114</xdr:colOff>
      <xdr:row>31</xdr:row>
      <xdr:rowOff>152696</xdr:rowOff>
    </xdr:from>
    <xdr:to>
      <xdr:col>139</xdr:col>
      <xdr:colOff>145663</xdr:colOff>
      <xdr:row>59</xdr:row>
      <xdr:rowOff>63306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D09617F-9CEE-BECD-B39B-57CCDF921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57133" y="6087504"/>
          <a:ext cx="7279300" cy="52885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19295</xdr:colOff>
          <xdr:row>16</xdr:row>
          <xdr:rowOff>74201</xdr:rowOff>
        </xdr:from>
        <xdr:to>
          <xdr:col>71</xdr:col>
          <xdr:colOff>158792</xdr:colOff>
          <xdr:row>27</xdr:row>
          <xdr:rowOff>74201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8D8F2B62-1404-1FEC-D90C-9B095FC74D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Green Sheet'!$D$55:$G$65" spid="_x0000_s61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612752" y="3138766"/>
              <a:ext cx="2897605" cy="2095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oneCellAnchor>
    <xdr:from>
      <xdr:col>39</xdr:col>
      <xdr:colOff>153866</xdr:colOff>
      <xdr:row>10</xdr:row>
      <xdr:rowOff>102577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376B169-F5FA-2D95-2117-BA1D0FB2488A}"/>
            </a:ext>
          </a:extLst>
        </xdr:cNvPr>
        <xdr:cNvSpPr txBox="1"/>
      </xdr:nvSpPr>
      <xdr:spPr>
        <a:xfrm>
          <a:off x="7634654" y="20222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9</xdr:col>
      <xdr:colOff>116794</xdr:colOff>
      <xdr:row>37</xdr:row>
      <xdr:rowOff>156883</xdr:rowOff>
    </xdr:from>
    <xdr:to>
      <xdr:col>16</xdr:col>
      <xdr:colOff>1</xdr:colOff>
      <xdr:row>44</xdr:row>
      <xdr:rowOff>36126</xdr:rowOff>
    </xdr:to>
    <xdr:pic>
      <xdr:nvPicPr>
        <xdr:cNvPr id="31" name="Picture 30" descr="Valve - Free buildings icons">
          <a:extLst>
            <a:ext uri="{FF2B5EF4-FFF2-40B4-BE49-F238E27FC236}">
              <a16:creationId xmlns:a16="http://schemas.microsoft.com/office/drawing/2014/main" id="{3FE7FBD0-757D-B3A4-D689-F41A655BF2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831294" y="7250207"/>
          <a:ext cx="1272736" cy="125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133093</xdr:colOff>
      <xdr:row>36</xdr:row>
      <xdr:rowOff>137093</xdr:rowOff>
    </xdr:from>
    <xdr:to>
      <xdr:col>80</xdr:col>
      <xdr:colOff>59121</xdr:colOff>
      <xdr:row>38</xdr:row>
      <xdr:rowOff>37424</xdr:rowOff>
    </xdr:to>
    <xdr:pic>
      <xdr:nvPicPr>
        <xdr:cNvPr id="32" name="Picture 31" descr="Valve - Free buildings icons">
          <a:extLst>
            <a:ext uri="{FF2B5EF4-FFF2-40B4-BE49-F238E27FC236}">
              <a16:creationId xmlns:a16="http://schemas.microsoft.com/office/drawing/2014/main" id="{BD76B578-B42F-435D-B637-9C18E22B6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88455" y="6259369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121269</xdr:colOff>
      <xdr:row>41</xdr:row>
      <xdr:rowOff>131838</xdr:rowOff>
    </xdr:from>
    <xdr:to>
      <xdr:col>80</xdr:col>
      <xdr:colOff>47297</xdr:colOff>
      <xdr:row>43</xdr:row>
      <xdr:rowOff>22644</xdr:rowOff>
    </xdr:to>
    <xdr:pic>
      <xdr:nvPicPr>
        <xdr:cNvPr id="33" name="Picture 32" descr="Valve - Free buildings icons">
          <a:extLst>
            <a:ext uri="{FF2B5EF4-FFF2-40B4-BE49-F238E27FC236}">
              <a16:creationId xmlns:a16="http://schemas.microsoft.com/office/drawing/2014/main" id="{44D7576E-BF3D-43B3-BE87-946242E125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6631" y="7587614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116014</xdr:colOff>
      <xdr:row>48</xdr:row>
      <xdr:rowOff>133152</xdr:rowOff>
    </xdr:from>
    <xdr:to>
      <xdr:col>80</xdr:col>
      <xdr:colOff>42042</xdr:colOff>
      <xdr:row>50</xdr:row>
      <xdr:rowOff>43008</xdr:rowOff>
    </xdr:to>
    <xdr:pic>
      <xdr:nvPicPr>
        <xdr:cNvPr id="34" name="Picture 33" descr="Valve - Free buildings icons">
          <a:extLst>
            <a:ext uri="{FF2B5EF4-FFF2-40B4-BE49-F238E27FC236}">
              <a16:creationId xmlns:a16="http://schemas.microsoft.com/office/drawing/2014/main" id="{1C7DFDF7-1D62-4185-BA8A-3F9B5D3E4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71376" y="8922428"/>
          <a:ext cx="29389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107674</xdr:colOff>
      <xdr:row>56</xdr:row>
      <xdr:rowOff>149087</xdr:rowOff>
    </xdr:from>
    <xdr:to>
      <xdr:col>80</xdr:col>
      <xdr:colOff>33702</xdr:colOff>
      <xdr:row>58</xdr:row>
      <xdr:rowOff>58943</xdr:rowOff>
    </xdr:to>
    <xdr:pic>
      <xdr:nvPicPr>
        <xdr:cNvPr id="35" name="Picture 34" descr="Valve - Free buildings icons">
          <a:extLst>
            <a:ext uri="{FF2B5EF4-FFF2-40B4-BE49-F238E27FC236}">
              <a16:creationId xmlns:a16="http://schemas.microsoft.com/office/drawing/2014/main" id="{CB9EDD85-EAB6-40D3-A7CB-A0272F8DCF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26478" y="10088217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78</xdr:col>
      <xdr:colOff>124239</xdr:colOff>
      <xdr:row>59</xdr:row>
      <xdr:rowOff>173935</xdr:rowOff>
    </xdr:from>
    <xdr:to>
      <xdr:col>80</xdr:col>
      <xdr:colOff>50267</xdr:colOff>
      <xdr:row>61</xdr:row>
      <xdr:rowOff>75509</xdr:rowOff>
    </xdr:to>
    <xdr:pic>
      <xdr:nvPicPr>
        <xdr:cNvPr id="36" name="Picture 35" descr="Valve - Free buildings icons">
          <a:extLst>
            <a:ext uri="{FF2B5EF4-FFF2-40B4-BE49-F238E27FC236}">
              <a16:creationId xmlns:a16="http://schemas.microsoft.com/office/drawing/2014/main" id="{4AEC7D3F-02ED-4186-AF9E-3E7AA9834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43043" y="11065565"/>
          <a:ext cx="290463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16328</xdr:colOff>
      <xdr:row>52</xdr:row>
      <xdr:rowOff>130628</xdr:rowOff>
    </xdr:from>
    <xdr:to>
      <xdr:col>73</xdr:col>
      <xdr:colOff>121969</xdr:colOff>
      <xdr:row>54</xdr:row>
      <xdr:rowOff>40484</xdr:rowOff>
    </xdr:to>
    <xdr:pic>
      <xdr:nvPicPr>
        <xdr:cNvPr id="37" name="Picture 36" descr="Valve - Free buildings icons">
          <a:extLst>
            <a:ext uri="{FF2B5EF4-FFF2-40B4-BE49-F238E27FC236}">
              <a16:creationId xmlns:a16="http://schemas.microsoft.com/office/drawing/2014/main" id="{AA08BB3F-FD25-431F-A1DC-2FCB237168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92842" y="93181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124003</xdr:colOff>
      <xdr:row>48</xdr:row>
      <xdr:rowOff>149560</xdr:rowOff>
    </xdr:from>
    <xdr:to>
      <xdr:col>73</xdr:col>
      <xdr:colOff>63992</xdr:colOff>
      <xdr:row>50</xdr:row>
      <xdr:rowOff>59416</xdr:rowOff>
    </xdr:to>
    <xdr:pic>
      <xdr:nvPicPr>
        <xdr:cNvPr id="38" name="Picture 37" descr="Valve - Free buildings icons">
          <a:extLst>
            <a:ext uri="{FF2B5EF4-FFF2-40B4-BE49-F238E27FC236}">
              <a16:creationId xmlns:a16="http://schemas.microsoft.com/office/drawing/2014/main" id="{46B6EDC8-044D-4AB3-ADF8-4F3B9BF353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475568" y="9359821"/>
          <a:ext cx="287859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38099</xdr:colOff>
      <xdr:row>36</xdr:row>
      <xdr:rowOff>141514</xdr:rowOff>
    </xdr:from>
    <xdr:to>
      <xdr:col>73</xdr:col>
      <xdr:colOff>143740</xdr:colOff>
      <xdr:row>38</xdr:row>
      <xdr:rowOff>41845</xdr:rowOff>
    </xdr:to>
    <xdr:pic>
      <xdr:nvPicPr>
        <xdr:cNvPr id="39" name="Picture 38" descr="Valve - Free buildings icons">
          <a:extLst>
            <a:ext uri="{FF2B5EF4-FFF2-40B4-BE49-F238E27FC236}">
              <a16:creationId xmlns:a16="http://schemas.microsoft.com/office/drawing/2014/main" id="{FF1E589F-6D2D-4D90-9485-854ACA054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3" y="6662057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38100</xdr:colOff>
      <xdr:row>32</xdr:row>
      <xdr:rowOff>168728</xdr:rowOff>
    </xdr:from>
    <xdr:to>
      <xdr:col>73</xdr:col>
      <xdr:colOff>143741</xdr:colOff>
      <xdr:row>34</xdr:row>
      <xdr:rowOff>78584</xdr:rowOff>
    </xdr:to>
    <xdr:pic>
      <xdr:nvPicPr>
        <xdr:cNvPr id="40" name="Picture 39" descr="Valve - Free buildings icons">
          <a:extLst>
            <a:ext uri="{FF2B5EF4-FFF2-40B4-BE49-F238E27FC236}">
              <a16:creationId xmlns:a16="http://schemas.microsoft.com/office/drawing/2014/main" id="{0D70F51B-EFDE-4704-927B-C012210BE2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3514614" y="5927271"/>
          <a:ext cx="285257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71995</xdr:colOff>
      <xdr:row>36</xdr:row>
      <xdr:rowOff>173480</xdr:rowOff>
    </xdr:from>
    <xdr:to>
      <xdr:col>53</xdr:col>
      <xdr:colOff>176681</xdr:colOff>
      <xdr:row>38</xdr:row>
      <xdr:rowOff>73811</xdr:rowOff>
    </xdr:to>
    <xdr:pic>
      <xdr:nvPicPr>
        <xdr:cNvPr id="41" name="Picture 40" descr="Valve - Free buildings icons">
          <a:extLst>
            <a:ext uri="{FF2B5EF4-FFF2-40B4-BE49-F238E27FC236}">
              <a16:creationId xmlns:a16="http://schemas.microsoft.com/office/drawing/2014/main" id="{8B7FC64A-D63A-417A-A7AD-AD7D7C905A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9936582" y="7064610"/>
          <a:ext cx="286903" cy="289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86</xdr:col>
      <xdr:colOff>172641</xdr:colOff>
      <xdr:row>14</xdr:row>
      <xdr:rowOff>84846</xdr:rowOff>
    </xdr:from>
    <xdr:to>
      <xdr:col>88</xdr:col>
      <xdr:colOff>134422</xdr:colOff>
      <xdr:row>16</xdr:row>
      <xdr:rowOff>26026</xdr:rowOff>
    </xdr:to>
    <xdr:pic>
      <xdr:nvPicPr>
        <xdr:cNvPr id="42" name="Picture 41" descr="Valve - Free buildings icons">
          <a:extLst>
            <a:ext uri="{FF2B5EF4-FFF2-40B4-BE49-F238E27FC236}">
              <a16:creationId xmlns:a16="http://schemas.microsoft.com/office/drawing/2014/main" id="{078A415B-6EC5-4AB3-8ED7-C1A248AE8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2840858">
          <a:off x="16242920" y="2766393"/>
          <a:ext cx="322180" cy="3262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175597</xdr:colOff>
      <xdr:row>40</xdr:row>
      <xdr:rowOff>99764</xdr:rowOff>
    </xdr:from>
    <xdr:to>
      <xdr:col>56</xdr:col>
      <xdr:colOff>100106</xdr:colOff>
      <xdr:row>41</xdr:row>
      <xdr:rowOff>196837</xdr:rowOff>
    </xdr:to>
    <xdr:pic>
      <xdr:nvPicPr>
        <xdr:cNvPr id="43" name="Picture 42" descr="Valve - Free buildings icons">
          <a:extLst>
            <a:ext uri="{FF2B5EF4-FFF2-40B4-BE49-F238E27FC236}">
              <a16:creationId xmlns:a16="http://schemas.microsoft.com/office/drawing/2014/main" id="{39895910-71D8-467E-A217-C96E1AF1E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6200000">
          <a:off x="10405304" y="7768775"/>
          <a:ext cx="287573" cy="2889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159727</xdr:colOff>
      <xdr:row>33</xdr:row>
      <xdr:rowOff>117859</xdr:rowOff>
    </xdr:from>
    <xdr:to>
      <xdr:col>47</xdr:col>
      <xdr:colOff>82196</xdr:colOff>
      <xdr:row>35</xdr:row>
      <xdr:rowOff>27715</xdr:rowOff>
    </xdr:to>
    <xdr:pic>
      <xdr:nvPicPr>
        <xdr:cNvPr id="45" name="Picture 44" descr="Valve - Free buildings icons">
          <a:extLst>
            <a:ext uri="{FF2B5EF4-FFF2-40B4-BE49-F238E27FC236}">
              <a16:creationId xmlns:a16="http://schemas.microsoft.com/office/drawing/2014/main" id="{2D28C040-F13E-4808-AF9C-76166DB34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54208" y="643366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114300</xdr:colOff>
      <xdr:row>47</xdr:row>
      <xdr:rowOff>101739</xdr:rowOff>
    </xdr:from>
    <xdr:to>
      <xdr:col>47</xdr:col>
      <xdr:colOff>36769</xdr:colOff>
      <xdr:row>49</xdr:row>
      <xdr:rowOff>11595</xdr:rowOff>
    </xdr:to>
    <xdr:pic>
      <xdr:nvPicPr>
        <xdr:cNvPr id="46" name="Picture 45" descr="Valve - Free buildings icons">
          <a:extLst>
            <a:ext uri="{FF2B5EF4-FFF2-40B4-BE49-F238E27FC236}">
              <a16:creationId xmlns:a16="http://schemas.microsoft.com/office/drawing/2014/main" id="{7A0FA07B-8087-413E-810F-28D539EFA9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708781" y="9084547"/>
          <a:ext cx="288815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78823</xdr:colOff>
      <xdr:row>46</xdr:row>
      <xdr:rowOff>29893</xdr:rowOff>
    </xdr:from>
    <xdr:to>
      <xdr:col>85</xdr:col>
      <xdr:colOff>4852</xdr:colOff>
      <xdr:row>47</xdr:row>
      <xdr:rowOff>130249</xdr:rowOff>
    </xdr:to>
    <xdr:pic>
      <xdr:nvPicPr>
        <xdr:cNvPr id="50" name="Picture 49" descr="Valve - Free buildings icons">
          <a:extLst>
            <a:ext uri="{FF2B5EF4-FFF2-40B4-BE49-F238E27FC236}">
              <a16:creationId xmlns:a16="http://schemas.microsoft.com/office/drawing/2014/main" id="{7640EFE9-6512-4C9F-80F5-94646D7EA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611900" y="8851508"/>
          <a:ext cx="292374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83</xdr:col>
      <xdr:colOff>28575</xdr:colOff>
      <xdr:row>29</xdr:row>
      <xdr:rowOff>142875</xdr:rowOff>
    </xdr:from>
    <xdr:to>
      <xdr:col>84</xdr:col>
      <xdr:colOff>135578</xdr:colOff>
      <xdr:row>31</xdr:row>
      <xdr:rowOff>44448</xdr:rowOff>
    </xdr:to>
    <xdr:pic>
      <xdr:nvPicPr>
        <xdr:cNvPr id="52" name="Picture 51" descr="Valve - Free buildings icons">
          <a:extLst>
            <a:ext uri="{FF2B5EF4-FFF2-40B4-BE49-F238E27FC236}">
              <a16:creationId xmlns:a16="http://schemas.microsoft.com/office/drawing/2014/main" id="{A0B49C81-DCB6-4E72-ACE2-34840360B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16225" y="5705475"/>
          <a:ext cx="287978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39</xdr:col>
      <xdr:colOff>28576</xdr:colOff>
      <xdr:row>60</xdr:row>
      <xdr:rowOff>2070</xdr:rowOff>
    </xdr:from>
    <xdr:ext cx="289221" cy="290856"/>
    <xdr:pic>
      <xdr:nvPicPr>
        <xdr:cNvPr id="58" name="Picture 57" descr="Valve - Free buildings icons">
          <a:extLst>
            <a:ext uri="{FF2B5EF4-FFF2-40B4-BE49-F238E27FC236}">
              <a16:creationId xmlns:a16="http://schemas.microsoft.com/office/drawing/2014/main" id="{73C596D2-0146-4247-A6B9-89D8A7F077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24337" y="11498331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57</xdr:row>
      <xdr:rowOff>64300</xdr:rowOff>
    </xdr:from>
    <xdr:to>
      <xdr:col>20</xdr:col>
      <xdr:colOff>87923</xdr:colOff>
      <xdr:row>58</xdr:row>
      <xdr:rowOff>24065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D2613C76-8673-0A85-BE90-AD4E0DB0A743}"/>
            </a:ext>
          </a:extLst>
        </xdr:cNvPr>
        <xdr:cNvGrpSpPr/>
      </xdr:nvGrpSpPr>
      <xdr:grpSpPr>
        <a:xfrm>
          <a:off x="83820" y="11005626"/>
          <a:ext cx="3888646" cy="150265"/>
          <a:chOff x="83820" y="11014240"/>
          <a:chExt cx="3936023" cy="150265"/>
        </a:xfrm>
      </xdr:grpSpPr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A0A9D13E-F31B-27F2-0D3F-42DC2CA8ED14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>
            <a:extLst>
              <a:ext uri="{FF2B5EF4-FFF2-40B4-BE49-F238E27FC236}">
                <a16:creationId xmlns:a16="http://schemas.microsoft.com/office/drawing/2014/main" id="{DF7C5964-5380-409C-8B09-3D35ABFD4D1F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Connector 73">
            <a:extLst>
              <a:ext uri="{FF2B5EF4-FFF2-40B4-BE49-F238E27FC236}">
                <a16:creationId xmlns:a16="http://schemas.microsoft.com/office/drawing/2014/main" id="{56713C8C-1C7E-66E9-2E99-9E3929B8E419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4277BE12-EA35-4649-9D61-EBA4C0E7223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Connector 75">
            <a:extLst>
              <a:ext uri="{FF2B5EF4-FFF2-40B4-BE49-F238E27FC236}">
                <a16:creationId xmlns:a16="http://schemas.microsoft.com/office/drawing/2014/main" id="{7E1801DD-4F66-4186-8F20-F7D704FD4480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65</xdr:row>
      <xdr:rowOff>98534</xdr:rowOff>
    </xdr:from>
    <xdr:to>
      <xdr:col>20</xdr:col>
      <xdr:colOff>105477</xdr:colOff>
      <xdr:row>66</xdr:row>
      <xdr:rowOff>41011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FA13EB1-BDA7-A4FB-1E8F-057E29711F48}"/>
            </a:ext>
          </a:extLst>
        </xdr:cNvPr>
        <xdr:cNvGrpSpPr/>
      </xdr:nvGrpSpPr>
      <xdr:grpSpPr>
        <a:xfrm>
          <a:off x="105103" y="12596991"/>
          <a:ext cx="3884917" cy="132977"/>
          <a:chOff x="83820" y="12595390"/>
          <a:chExt cx="3936023" cy="150265"/>
        </a:xfrm>
      </xdr:grpSpPr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6928C230-22ED-DDE7-C952-5BC99023C02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BF152AFD-9522-123D-ABF8-3402B64924BB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AF67F8E9-4D8C-0333-3BBB-74039B82CBB5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A0FE8B2B-14C9-0133-2898-B283CF9C9B69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5AC5A1DA-729E-54B3-FAF9-C505640E5975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67</xdr:row>
      <xdr:rowOff>2070</xdr:rowOff>
    </xdr:from>
    <xdr:ext cx="289221" cy="290856"/>
    <xdr:pic>
      <xdr:nvPicPr>
        <xdr:cNvPr id="11" name="Picture 10" descr="Valve - Free buildings icons">
          <a:extLst>
            <a:ext uri="{FF2B5EF4-FFF2-40B4-BE49-F238E27FC236}">
              <a16:creationId xmlns:a16="http://schemas.microsoft.com/office/drawing/2014/main" id="{BB82B81D-C0F9-434F-A740-0D590FA866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35467" y="11563039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105103</xdr:colOff>
      <xdr:row>73</xdr:row>
      <xdr:rowOff>78828</xdr:rowOff>
    </xdr:from>
    <xdr:to>
      <xdr:col>12</xdr:col>
      <xdr:colOff>26276</xdr:colOff>
      <xdr:row>74</xdr:row>
      <xdr:rowOff>41011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69D5CDB-E617-4D26-A834-B34733D46BF1}"/>
            </a:ext>
          </a:extLst>
        </xdr:cNvPr>
        <xdr:cNvGrpSpPr/>
      </xdr:nvGrpSpPr>
      <xdr:grpSpPr>
        <a:xfrm>
          <a:off x="105103" y="14134415"/>
          <a:ext cx="2232021" cy="152683"/>
          <a:chOff x="83820" y="12595390"/>
          <a:chExt cx="3936023" cy="150265"/>
        </a:xfrm>
      </xdr:grpSpPr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108165A-C388-54AA-77A2-FAE348C1C605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BB67EB20-3360-0B0E-C3B6-0647ED4A0AE4}"/>
              </a:ext>
            </a:extLst>
          </xdr:cNvPr>
          <xdr:cNvCxnSpPr/>
        </xdr:nvCxnSpPr>
        <xdr:spPr>
          <a:xfrm flipH="1" flipV="1">
            <a:off x="3611560" y="1260007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885B3906-5AC8-EA2F-5DF1-53A8A62DEE09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Straight Connector 15">
            <a:extLst>
              <a:ext uri="{FF2B5EF4-FFF2-40B4-BE49-F238E27FC236}">
                <a16:creationId xmlns:a16="http://schemas.microsoft.com/office/drawing/2014/main" id="{CAB94F83-12E3-FCFE-5ECA-BC6F76F7C2E3}"/>
              </a:ext>
            </a:extLst>
          </xdr:cNvPr>
          <xdr:cNvCxnSpPr/>
        </xdr:nvCxnSpPr>
        <xdr:spPr>
          <a:xfrm flipH="1" flipV="1">
            <a:off x="3412268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>
            <a:extLst>
              <a:ext uri="{FF2B5EF4-FFF2-40B4-BE49-F238E27FC236}">
                <a16:creationId xmlns:a16="http://schemas.microsoft.com/office/drawing/2014/main" id="{485F6817-C7F0-F262-240E-781CB377FA1A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39</xdr:col>
      <xdr:colOff>28576</xdr:colOff>
      <xdr:row>75</xdr:row>
      <xdr:rowOff>2070</xdr:rowOff>
    </xdr:from>
    <xdr:ext cx="289221" cy="290856"/>
    <xdr:pic>
      <xdr:nvPicPr>
        <xdr:cNvPr id="19" name="Picture 18" descr="Valve - Free buildings icons">
          <a:extLst>
            <a:ext uri="{FF2B5EF4-FFF2-40B4-BE49-F238E27FC236}">
              <a16:creationId xmlns:a16="http://schemas.microsoft.com/office/drawing/2014/main" id="{D90E0198-0489-4AAB-A4D3-4DF40230E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288152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83</xdr:row>
      <xdr:rowOff>2070</xdr:rowOff>
    </xdr:from>
    <xdr:ext cx="289221" cy="290856"/>
    <xdr:pic>
      <xdr:nvPicPr>
        <xdr:cNvPr id="28" name="Picture 27" descr="Valve - Free buildings icons">
          <a:extLst>
            <a:ext uri="{FF2B5EF4-FFF2-40B4-BE49-F238E27FC236}">
              <a16:creationId xmlns:a16="http://schemas.microsoft.com/office/drawing/2014/main" id="{109A8628-741A-48AA-91C3-27422B7669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443865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39</xdr:col>
      <xdr:colOff>28576</xdr:colOff>
      <xdr:row>91</xdr:row>
      <xdr:rowOff>2070</xdr:rowOff>
    </xdr:from>
    <xdr:ext cx="289221" cy="290856"/>
    <xdr:pic>
      <xdr:nvPicPr>
        <xdr:cNvPr id="51" name="Picture 50" descr="Valve - Free buildings icons">
          <a:extLst>
            <a:ext uri="{FF2B5EF4-FFF2-40B4-BE49-F238E27FC236}">
              <a16:creationId xmlns:a16="http://schemas.microsoft.com/office/drawing/2014/main" id="{9069790C-83F8-48AF-83F4-BDD4C78A6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7507772" y="15995787"/>
          <a:ext cx="289221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83820</xdr:colOff>
      <xdr:row>81</xdr:row>
      <xdr:rowOff>64300</xdr:rowOff>
    </xdr:from>
    <xdr:to>
      <xdr:col>20</xdr:col>
      <xdr:colOff>87923</xdr:colOff>
      <xdr:row>82</xdr:row>
      <xdr:rowOff>24065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BDBA5FA2-5DE2-4D8F-9335-54C759A755EA}"/>
            </a:ext>
          </a:extLst>
        </xdr:cNvPr>
        <xdr:cNvGrpSpPr/>
      </xdr:nvGrpSpPr>
      <xdr:grpSpPr>
        <a:xfrm>
          <a:off x="83820" y="15677017"/>
          <a:ext cx="3888646" cy="150265"/>
          <a:chOff x="83820" y="11014240"/>
          <a:chExt cx="3936023" cy="150265"/>
        </a:xfrm>
      </xdr:grpSpPr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74099E0B-E4B0-2308-8ABE-F9A7346027D0}"/>
              </a:ext>
            </a:extLst>
          </xdr:cNvPr>
          <xdr:cNvCxnSpPr/>
        </xdr:nvCxnSpPr>
        <xdr:spPr>
          <a:xfrm flipH="1">
            <a:off x="91109" y="11014240"/>
            <a:ext cx="3923638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5B617AC5-CCAA-B671-57B3-6CE654D15317}"/>
              </a:ext>
            </a:extLst>
          </xdr:cNvPr>
          <xdr:cNvCxnSpPr/>
        </xdr:nvCxnSpPr>
        <xdr:spPr>
          <a:xfrm flipH="1" flipV="1">
            <a:off x="3830250" y="11015111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Straight Connector 63">
            <a:extLst>
              <a:ext uri="{FF2B5EF4-FFF2-40B4-BE49-F238E27FC236}">
                <a16:creationId xmlns:a16="http://schemas.microsoft.com/office/drawing/2014/main" id="{967BF764-B245-D9E6-F93B-035B62350731}"/>
              </a:ext>
            </a:extLst>
          </xdr:cNvPr>
          <xdr:cNvCxnSpPr/>
        </xdr:nvCxnSpPr>
        <xdr:spPr>
          <a:xfrm flipV="1">
            <a:off x="4019843" y="1101734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>
            <a:extLst>
              <a:ext uri="{FF2B5EF4-FFF2-40B4-BE49-F238E27FC236}">
                <a16:creationId xmlns:a16="http://schemas.microsoft.com/office/drawing/2014/main" id="{BC5018B8-4B31-DBB7-4B53-2D9ACD8A50DF}"/>
              </a:ext>
            </a:extLst>
          </xdr:cNvPr>
          <xdr:cNvCxnSpPr/>
        </xdr:nvCxnSpPr>
        <xdr:spPr>
          <a:xfrm flipH="1" flipV="1">
            <a:off x="3632331" y="1101912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>
            <a:extLst>
              <a:ext uri="{FF2B5EF4-FFF2-40B4-BE49-F238E27FC236}">
                <a16:creationId xmlns:a16="http://schemas.microsoft.com/office/drawing/2014/main" id="{EEE7EED9-E554-6DFA-0751-3741486FDE0E}"/>
              </a:ext>
            </a:extLst>
          </xdr:cNvPr>
          <xdr:cNvCxnSpPr/>
        </xdr:nvCxnSpPr>
        <xdr:spPr>
          <a:xfrm flipH="1" flipV="1">
            <a:off x="83820" y="1101471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105103</xdr:colOff>
      <xdr:row>89</xdr:row>
      <xdr:rowOff>78827</xdr:rowOff>
    </xdr:from>
    <xdr:to>
      <xdr:col>12</xdr:col>
      <xdr:colOff>131379</xdr:colOff>
      <xdr:row>90</xdr:row>
      <xdr:rowOff>23020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79CEA1EA-894A-43D4-93FD-183B7679B1C9}"/>
            </a:ext>
          </a:extLst>
        </xdr:cNvPr>
        <xdr:cNvGrpSpPr/>
      </xdr:nvGrpSpPr>
      <xdr:grpSpPr>
        <a:xfrm>
          <a:off x="105103" y="17248675"/>
          <a:ext cx="2337124" cy="134693"/>
          <a:chOff x="83820" y="12592558"/>
          <a:chExt cx="3756660" cy="156907"/>
        </a:xfrm>
      </xdr:grpSpPr>
      <xdr:cxnSp macro="">
        <xdr:nvCxnSpPr>
          <xdr:cNvPr id="69" name="Straight Connector 68">
            <a:extLst>
              <a:ext uri="{FF2B5EF4-FFF2-40B4-BE49-F238E27FC236}">
                <a16:creationId xmlns:a16="http://schemas.microsoft.com/office/drawing/2014/main" id="{FE226AB0-34AF-EA5A-6684-836CEC53F298}"/>
              </a:ext>
            </a:extLst>
          </xdr:cNvPr>
          <xdr:cNvCxnSpPr/>
        </xdr:nvCxnSpPr>
        <xdr:spPr>
          <a:xfrm flipH="1">
            <a:off x="90981" y="12595390"/>
            <a:ext cx="3749499" cy="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>
            <a:extLst>
              <a:ext uri="{FF2B5EF4-FFF2-40B4-BE49-F238E27FC236}">
                <a16:creationId xmlns:a16="http://schemas.microsoft.com/office/drawing/2014/main" id="{E951CA55-CC21-D2DF-75FA-3FCDC253DB9F}"/>
              </a:ext>
            </a:extLst>
          </xdr:cNvPr>
          <xdr:cNvCxnSpPr/>
        </xdr:nvCxnSpPr>
        <xdr:spPr>
          <a:xfrm flipH="1" flipV="1">
            <a:off x="3546322" y="12592558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Straight Connector 70">
            <a:extLst>
              <a:ext uri="{FF2B5EF4-FFF2-40B4-BE49-F238E27FC236}">
                <a16:creationId xmlns:a16="http://schemas.microsoft.com/office/drawing/2014/main" id="{77313744-3712-D4E9-2428-FE10FA5880CF}"/>
              </a:ext>
            </a:extLst>
          </xdr:cNvPr>
          <xdr:cNvCxnSpPr/>
        </xdr:nvCxnSpPr>
        <xdr:spPr>
          <a:xfrm flipV="1">
            <a:off x="3829343" y="12606118"/>
            <a:ext cx="0" cy="114300"/>
          </a:xfrm>
          <a:prstGeom prst="line">
            <a:avLst/>
          </a:pr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Straight Connector 71">
            <a:extLst>
              <a:ext uri="{FF2B5EF4-FFF2-40B4-BE49-F238E27FC236}">
                <a16:creationId xmlns:a16="http://schemas.microsoft.com/office/drawing/2014/main" id="{A20EADA9-FB97-7F32-721A-11723A4CD3ED}"/>
              </a:ext>
            </a:extLst>
          </xdr:cNvPr>
          <xdr:cNvCxnSpPr/>
        </xdr:nvCxnSpPr>
        <xdr:spPr>
          <a:xfrm flipH="1" flipV="1">
            <a:off x="3270919" y="12604083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Connector 72">
            <a:extLst>
              <a:ext uri="{FF2B5EF4-FFF2-40B4-BE49-F238E27FC236}">
                <a16:creationId xmlns:a16="http://schemas.microsoft.com/office/drawing/2014/main" id="{888274ED-5B9A-68F5-29E7-DC43038EC468}"/>
              </a:ext>
            </a:extLst>
          </xdr:cNvPr>
          <xdr:cNvCxnSpPr/>
        </xdr:nvCxnSpPr>
        <xdr:spPr>
          <a:xfrm flipH="1" flipV="1">
            <a:off x="83820" y="12595860"/>
            <a:ext cx="3" cy="145382"/>
          </a:xfrm>
          <a:prstGeom prst="line">
            <a:avLst/>
          </a:prstGeom>
          <a:ln>
            <a:headEnd type="triangle" w="med" len="med"/>
            <a:tailEnd type="none" w="med" len="med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83</xdr:col>
      <xdr:colOff>20292</xdr:colOff>
      <xdr:row>65</xdr:row>
      <xdr:rowOff>151157</xdr:rowOff>
    </xdr:from>
    <xdr:ext cx="289220" cy="290856"/>
    <xdr:pic>
      <xdr:nvPicPr>
        <xdr:cNvPr id="22" name="Picture 21" descr="Valve - Free buildings icons">
          <a:extLst>
            <a:ext uri="{FF2B5EF4-FFF2-40B4-BE49-F238E27FC236}">
              <a16:creationId xmlns:a16="http://schemas.microsoft.com/office/drawing/2014/main" id="{74FDFE22-A2B1-44AE-A1AF-6A6A69705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541901" y="12649614"/>
          <a:ext cx="289220" cy="290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477</xdr:colOff>
      <xdr:row>12</xdr:row>
      <xdr:rowOff>5477</xdr:rowOff>
    </xdr:from>
    <xdr:to>
      <xdr:col>40</xdr:col>
      <xdr:colOff>477</xdr:colOff>
      <xdr:row>13</xdr:row>
      <xdr:rowOff>184547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2B15A3C-1D14-0E93-77B8-C7930B8104B6}"/>
            </a:ext>
          </a:extLst>
        </xdr:cNvPr>
        <xdr:cNvCxnSpPr/>
      </xdr:nvCxnSpPr>
      <xdr:spPr>
        <a:xfrm>
          <a:off x="5536883" y="2446258"/>
          <a:ext cx="0" cy="369570"/>
        </a:xfrm>
        <a:prstGeom prst="straightConnector1">
          <a:avLst/>
        </a:prstGeom>
        <a:ln>
          <a:solidFill>
            <a:schemeClr val="accent5">
              <a:lumMod val="75000"/>
            </a:schemeClr>
          </a:solidFill>
          <a:tailEnd type="oval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125242</xdr:colOff>
      <xdr:row>9</xdr:row>
      <xdr:rowOff>130115</xdr:rowOff>
    </xdr:from>
    <xdr:to>
      <xdr:col>45</xdr:col>
      <xdr:colOff>74728</xdr:colOff>
      <xdr:row>9</xdr:row>
      <xdr:rowOff>190595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87C8FCDD-8F49-9289-8914-43AB1D4FB007}"/>
                </a:ext>
              </a:extLst>
            </xdr14:cNvPr>
            <xdr14:cNvContentPartPr/>
          </xdr14:nvContentPartPr>
          <xdr14:nvPr macro=""/>
          <xdr14:xfrm>
            <a:off x="6441821" y="1904773"/>
            <a:ext cx="129960" cy="60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7C8FCDD-8F49-9289-8914-43AB1D4FB00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423821" y="1887133"/>
              <a:ext cx="165600" cy="9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44</xdr:col>
      <xdr:colOff>115162</xdr:colOff>
      <xdr:row>11</xdr:row>
      <xdr:rowOff>160036</xdr:rowOff>
    </xdr:from>
    <xdr:to>
      <xdr:col>45</xdr:col>
      <xdr:colOff>82288</xdr:colOff>
      <xdr:row>12</xdr:row>
      <xdr:rowOff>2170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6CEAAE31-936C-15C3-CCF9-1A15C2A4E03F}"/>
                </a:ext>
              </a:extLst>
            </xdr14:cNvPr>
            <xdr14:cNvContentPartPr/>
          </xdr14:nvContentPartPr>
          <xdr14:nvPr macro=""/>
          <xdr14:xfrm>
            <a:off x="6431741" y="2345773"/>
            <a:ext cx="147600" cy="399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CEAAE31-936C-15C3-CCF9-1A15C2A4E03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6413741" y="2328133"/>
              <a:ext cx="18324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47</xdr:col>
      <xdr:colOff>48193</xdr:colOff>
      <xdr:row>10</xdr:row>
      <xdr:rowOff>150269</xdr:rowOff>
    </xdr:from>
    <xdr:to>
      <xdr:col>48</xdr:col>
      <xdr:colOff>124759</xdr:colOff>
      <xdr:row>11</xdr:row>
      <xdr:rowOff>65356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D7A49BD4-81BF-FDB8-A961-67A051AC1C42}"/>
                </a:ext>
              </a:extLst>
            </xdr14:cNvPr>
            <xdr14:cNvContentPartPr/>
          </xdr14:nvContentPartPr>
          <xdr14:nvPr macro=""/>
          <xdr14:xfrm>
            <a:off x="6906193" y="2125453"/>
            <a:ext cx="257040" cy="1256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7A49BD4-81BF-FDB8-A961-67A051AC1C4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888193" y="2107453"/>
              <a:ext cx="29268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109924</xdr:colOff>
      <xdr:row>6</xdr:row>
      <xdr:rowOff>170148</xdr:rowOff>
    </xdr:from>
    <xdr:to>
      <xdr:col>37</xdr:col>
      <xdr:colOff>15491</xdr:colOff>
      <xdr:row>7</xdr:row>
      <xdr:rowOff>74188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3A2D3FB2-C2C2-0832-C7FE-71313C4653AB}"/>
                </a:ext>
              </a:extLst>
            </xdr14:cNvPr>
            <xdr14:cNvContentPartPr/>
          </xdr14:nvContentPartPr>
          <xdr14:nvPr macro=""/>
          <xdr14:xfrm>
            <a:off x="4982713" y="1353253"/>
            <a:ext cx="86040" cy="1105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3A2D3FB2-C2C2-0832-C7FE-71313C4653A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973713" y="1344253"/>
              <a:ext cx="103680" cy="12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143404</xdr:colOff>
      <xdr:row>14</xdr:row>
      <xdr:rowOff>140170</xdr:rowOff>
    </xdr:from>
    <xdr:to>
      <xdr:col>37</xdr:col>
      <xdr:colOff>40331</xdr:colOff>
      <xdr:row>15</xdr:row>
      <xdr:rowOff>58971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2C183B6-DEB1-7315-24DF-B718DC765A68}"/>
                </a:ext>
              </a:extLst>
            </xdr14:cNvPr>
            <xdr14:cNvContentPartPr/>
          </xdr14:nvContentPartPr>
          <xdr14:nvPr macro=""/>
          <xdr14:xfrm>
            <a:off x="5016193" y="2716933"/>
            <a:ext cx="77400" cy="125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2C183B6-DEB1-7315-24DF-B718DC765A68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007193" y="2707933"/>
              <a:ext cx="9504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144976</xdr:colOff>
      <xdr:row>10</xdr:row>
      <xdr:rowOff>175109</xdr:rowOff>
    </xdr:from>
    <xdr:to>
      <xdr:col>39</xdr:col>
      <xdr:colOff>42983</xdr:colOff>
      <xdr:row>11</xdr:row>
      <xdr:rowOff>71116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713548C-CE23-DBFA-ADE7-E47363C2C450}"/>
                </a:ext>
              </a:extLst>
            </xdr14:cNvPr>
            <xdr14:cNvContentPartPr/>
          </xdr14:nvContentPartPr>
          <xdr14:nvPr macro=""/>
          <xdr14:xfrm>
            <a:off x="5378713" y="2150293"/>
            <a:ext cx="78480" cy="106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713548C-CE23-DBFA-ADE7-E47363C2C45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5370073" y="2141653"/>
              <a:ext cx="9612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24950</xdr:colOff>
      <xdr:row>6</xdr:row>
      <xdr:rowOff>130968</xdr:rowOff>
    </xdr:from>
    <xdr:to>
      <xdr:col>40</xdr:col>
      <xdr:colOff>101203</xdr:colOff>
      <xdr:row>7</xdr:row>
      <xdr:rowOff>185006</xdr:rowOff>
    </xdr:to>
    <xdr:pic>
      <xdr:nvPicPr>
        <xdr:cNvPr id="26" name="Picture 25" descr="Valve - Free buildings icons">
          <a:extLst>
            <a:ext uri="{FF2B5EF4-FFF2-40B4-BE49-F238E27FC236}">
              <a16:creationId xmlns:a16="http://schemas.microsoft.com/office/drawing/2014/main" id="{83EABCAA-8311-4AD9-92AD-7302F15EB9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flipV="1">
          <a:off x="5382763" y="1333499"/>
          <a:ext cx="266753" cy="262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101204</xdr:colOff>
      <xdr:row>14</xdr:row>
      <xdr:rowOff>41409</xdr:rowOff>
    </xdr:from>
    <xdr:to>
      <xdr:col>40</xdr:col>
      <xdr:colOff>130969</xdr:colOff>
      <xdr:row>15</xdr:row>
      <xdr:rowOff>49717</xdr:rowOff>
    </xdr:to>
    <xdr:pic>
      <xdr:nvPicPr>
        <xdr:cNvPr id="27" name="Picture 26" descr="Valve - Free buildings icons">
          <a:extLst>
            <a:ext uri="{FF2B5EF4-FFF2-40B4-BE49-F238E27FC236}">
              <a16:creationId xmlns:a16="http://schemas.microsoft.com/office/drawing/2014/main" id="{B710F7B9-E875-4690-86CF-B17990FCE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0800000" flipV="1">
          <a:off x="7066360" y="2892956"/>
          <a:ext cx="220265" cy="216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101150</xdr:colOff>
      <xdr:row>6</xdr:row>
      <xdr:rowOff>162628</xdr:rowOff>
    </xdr:from>
    <xdr:to>
      <xdr:col>44</xdr:col>
      <xdr:colOff>6717</xdr:colOff>
      <xdr:row>7</xdr:row>
      <xdr:rowOff>66668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4EBF91C5-D49F-447A-893D-B49F0B979AB4}"/>
                </a:ext>
              </a:extLst>
            </xdr14:cNvPr>
            <xdr14:cNvContentPartPr/>
          </xdr14:nvContentPartPr>
          <xdr14:nvPr macro=""/>
          <xdr14:xfrm>
            <a:off x="6173338" y="1388972"/>
            <a:ext cx="84160" cy="112399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4EBF91C5-D49F-447A-893D-B49F0B979AB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164535" y="1379819"/>
              <a:ext cx="101415" cy="1303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43</xdr:col>
      <xdr:colOff>77391</xdr:colOff>
      <xdr:row>14</xdr:row>
      <xdr:rowOff>148828</xdr:rowOff>
    </xdr:from>
    <xdr:to>
      <xdr:col>43</xdr:col>
      <xdr:colOff>154791</xdr:colOff>
      <xdr:row>15</xdr:row>
      <xdr:rowOff>65748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4701361C-7254-4E0E-99EF-FA6E948D2A82}"/>
                </a:ext>
              </a:extLst>
            </xdr14:cNvPr>
            <xdr14:cNvContentPartPr/>
          </xdr14:nvContentPartPr>
          <xdr14:nvPr macro=""/>
          <xdr14:xfrm>
            <a:off x="6149579" y="2792016"/>
            <a:ext cx="77400" cy="1252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4701361C-7254-4E0E-99EF-FA6E948D2A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40784" y="2782885"/>
              <a:ext cx="94639" cy="143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146538</xdr:colOff>
      <xdr:row>14</xdr:row>
      <xdr:rowOff>146538</xdr:rowOff>
    </xdr:from>
    <xdr:to>
      <xdr:col>19</xdr:col>
      <xdr:colOff>40765</xdr:colOff>
      <xdr:row>15</xdr:row>
      <xdr:rowOff>59336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14:cNvPr>
            <xdr14:cNvContentPartPr/>
          </xdr14:nvContentPartPr>
          <xdr14:nvPr macro=""/>
          <xdr14:xfrm>
            <a:off x="3443653" y="2960076"/>
            <a:ext cx="77400" cy="125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34305" y="29506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139617</xdr:colOff>
      <xdr:row>6</xdr:row>
      <xdr:rowOff>166292</xdr:rowOff>
    </xdr:from>
    <xdr:to>
      <xdr:col>19</xdr:col>
      <xdr:colOff>42484</xdr:colOff>
      <xdr:row>7</xdr:row>
      <xdr:rowOff>64331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14:cNvPr>
            <xdr14:cNvContentPartPr/>
          </xdr14:nvContentPartPr>
          <xdr14:nvPr macro=""/>
          <xdr14:xfrm>
            <a:off x="3436732" y="1382561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102576</xdr:colOff>
      <xdr:row>13</xdr:row>
      <xdr:rowOff>131884</xdr:rowOff>
    </xdr:from>
    <xdr:to>
      <xdr:col>6</xdr:col>
      <xdr:colOff>1382</xdr:colOff>
      <xdr:row>14</xdr:row>
      <xdr:rowOff>59337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49DB0AD9-11BA-4ADC-9237-4DC2BF4C326E}"/>
                </a:ext>
              </a:extLst>
            </xdr14:cNvPr>
            <xdr14:cNvContentPartPr/>
          </xdr14:nvContentPartPr>
          <xdr14:nvPr macro=""/>
          <xdr14:xfrm>
            <a:off x="1018441" y="2769576"/>
            <a:ext cx="77400" cy="1252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49DB0AD9-11BA-4ADC-9237-4DC2BF4C32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009093" y="27601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95249</xdr:colOff>
      <xdr:row>14</xdr:row>
      <xdr:rowOff>153865</xdr:rowOff>
    </xdr:from>
    <xdr:to>
      <xdr:col>5</xdr:col>
      <xdr:colOff>172649</xdr:colOff>
      <xdr:row>15</xdr:row>
      <xdr:rowOff>66663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DF79E18-AF03-D7EC-284F-ECFE7AC8A5EB}"/>
                </a:ext>
              </a:extLst>
            </xdr14:cNvPr>
            <xdr14:cNvContentPartPr/>
          </xdr14:nvContentPartPr>
          <xdr14:nvPr macro=""/>
          <xdr14:xfrm>
            <a:off x="1011114" y="2989384"/>
            <a:ext cx="77400" cy="12528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DF79E18-AF03-D7EC-284F-ECFE7AC8A5E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001766" y="2979950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87922</xdr:colOff>
      <xdr:row>15</xdr:row>
      <xdr:rowOff>153865</xdr:rowOff>
    </xdr:from>
    <xdr:to>
      <xdr:col>5</xdr:col>
      <xdr:colOff>165322</xdr:colOff>
      <xdr:row>16</xdr:row>
      <xdr:rowOff>66665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BE2A3E2-FA27-594D-6FF9-0BA14F6ED66B}"/>
                </a:ext>
              </a:extLst>
            </xdr14:cNvPr>
            <xdr14:cNvContentPartPr/>
          </xdr14:nvContentPartPr>
          <xdr14:nvPr macro=""/>
          <xdr14:xfrm>
            <a:off x="1003787" y="3201865"/>
            <a:ext cx="77400" cy="125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BE2A3E2-FA27-594D-6FF9-0BA14F6ED66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4439" y="3192431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5</xdr:row>
      <xdr:rowOff>144311</xdr:rowOff>
    </xdr:from>
    <xdr:to>
      <xdr:col>5</xdr:col>
      <xdr:colOff>108426</xdr:colOff>
      <xdr:row>6</xdr:row>
      <xdr:rowOff>57004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817D141E-6ECC-57B1-7DCA-2764AF8D2E10}"/>
                </a:ext>
              </a:extLst>
            </xdr14:cNvPr>
            <xdr14:cNvContentPartPr/>
          </xdr14:nvContentPartPr>
          <xdr14:nvPr macro=""/>
          <xdr14:xfrm>
            <a:off x="938251" y="1162753"/>
            <a:ext cx="86040" cy="1105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817D141E-6ECC-57B1-7DCA-2764AF8D2E1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153291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6</xdr:row>
      <xdr:rowOff>158965</xdr:rowOff>
    </xdr:from>
    <xdr:to>
      <xdr:col>5</xdr:col>
      <xdr:colOff>108426</xdr:colOff>
      <xdr:row>7</xdr:row>
      <xdr:rowOff>57004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CCB71A01-8CB0-3780-B1B5-EAC27C45D878}"/>
                </a:ext>
              </a:extLst>
            </xdr14:cNvPr>
            <xdr14:cNvContentPartPr/>
          </xdr14:nvContentPartPr>
          <xdr14:nvPr macro=""/>
          <xdr14:xfrm>
            <a:off x="938251" y="1375234"/>
            <a:ext cx="86040" cy="1105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CCB71A01-8CB0-3780-B1B5-EAC27C45D87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365772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22386</xdr:colOff>
      <xdr:row>7</xdr:row>
      <xdr:rowOff>173618</xdr:rowOff>
    </xdr:from>
    <xdr:to>
      <xdr:col>5</xdr:col>
      <xdr:colOff>108426</xdr:colOff>
      <xdr:row>8</xdr:row>
      <xdr:rowOff>71657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2A0BE22-C503-0972-F291-13A65E119FCA}"/>
                </a:ext>
              </a:extLst>
            </xdr14:cNvPr>
            <xdr14:cNvContentPartPr/>
          </xdr14:nvContentPartPr>
          <xdr14:nvPr macro=""/>
          <xdr14:xfrm>
            <a:off x="938251" y="1602368"/>
            <a:ext cx="86040" cy="1105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2A0BE22-C503-0972-F291-13A65E119FC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8979" y="1592906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106823</xdr:colOff>
      <xdr:row>5</xdr:row>
      <xdr:rowOff>12240</xdr:rowOff>
    </xdr:from>
    <xdr:to>
      <xdr:col>29</xdr:col>
      <xdr:colOff>38749</xdr:colOff>
      <xdr:row>5</xdr:row>
      <xdr:rowOff>98280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4A846F2-5106-4DDA-A75B-AB5AAC0DB9B8}"/>
                </a:ext>
              </a:extLst>
            </xdr14:cNvPr>
            <xdr14:cNvContentPartPr/>
          </xdr14:nvContentPartPr>
          <xdr14:nvPr macro=""/>
          <xdr14:xfrm rot="5165262">
            <a:off x="5119688" y="1023938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116348</xdr:colOff>
      <xdr:row>5</xdr:row>
      <xdr:rowOff>3905</xdr:rowOff>
    </xdr:from>
    <xdr:to>
      <xdr:col>30</xdr:col>
      <xdr:colOff>48274</xdr:colOff>
      <xdr:row>5</xdr:row>
      <xdr:rowOff>89945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9E1161C-A3A7-4DA0-B957-85956334266A}"/>
                </a:ext>
              </a:extLst>
            </xdr14:cNvPr>
            <xdr14:cNvContentPartPr/>
          </xdr14:nvContentPartPr>
          <xdr14:nvPr macro=""/>
          <xdr14:xfrm rot="5165262">
            <a:off x="5307807" y="1015603"/>
            <a:ext cx="86040" cy="1105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27</xdr:col>
      <xdr:colOff>95249</xdr:colOff>
      <xdr:row>0</xdr:row>
      <xdr:rowOff>47624</xdr:rowOff>
    </xdr:from>
    <xdr:to>
      <xdr:col>29</xdr:col>
      <xdr:colOff>47624</xdr:colOff>
      <xdr:row>0</xdr:row>
      <xdr:rowOff>142874</xdr:rowOff>
    </xdr:to>
    <xdr:sp macro="" textlink="">
      <xdr:nvSpPr>
        <xdr:cNvPr id="65" name="Arrow: Pentagon 64">
          <a:extLst>
            <a:ext uri="{FF2B5EF4-FFF2-40B4-BE49-F238E27FC236}">
              <a16:creationId xmlns:a16="http://schemas.microsoft.com/office/drawing/2014/main" id="{1FEC4F75-30CF-41ED-B9D7-032BF55107DF}"/>
            </a:ext>
          </a:extLst>
        </xdr:cNvPr>
        <xdr:cNvSpPr/>
      </xdr:nvSpPr>
      <xdr:spPr>
        <a:xfrm rot="10800000">
          <a:off x="4917280" y="47624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27</xdr:col>
      <xdr:colOff>57149</xdr:colOff>
      <xdr:row>3</xdr:row>
      <xdr:rowOff>39290</xdr:rowOff>
    </xdr:from>
    <xdr:to>
      <xdr:col>29</xdr:col>
      <xdr:colOff>9524</xdr:colOff>
      <xdr:row>3</xdr:row>
      <xdr:rowOff>134540</xdr:rowOff>
    </xdr:to>
    <xdr:sp macro="" textlink="">
      <xdr:nvSpPr>
        <xdr:cNvPr id="66" name="Arrow: Pentagon 65">
          <a:extLst>
            <a:ext uri="{FF2B5EF4-FFF2-40B4-BE49-F238E27FC236}">
              <a16:creationId xmlns:a16="http://schemas.microsoft.com/office/drawing/2014/main" id="{5DD493C4-FAEB-42F7-8493-A21CA3E79CFB}"/>
            </a:ext>
          </a:extLst>
        </xdr:cNvPr>
        <xdr:cNvSpPr/>
      </xdr:nvSpPr>
      <xdr:spPr>
        <a:xfrm rot="10800000">
          <a:off x="4879180" y="652462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35</xdr:col>
      <xdr:colOff>53579</xdr:colOff>
      <xdr:row>9</xdr:row>
      <xdr:rowOff>83344</xdr:rowOff>
    </xdr:from>
    <xdr:to>
      <xdr:col>37</xdr:col>
      <xdr:colOff>5954</xdr:colOff>
      <xdr:row>9</xdr:row>
      <xdr:rowOff>178594</xdr:rowOff>
    </xdr:to>
    <xdr:sp macro="" textlink="">
      <xdr:nvSpPr>
        <xdr:cNvPr id="68" name="Arrow: Pentagon 67">
          <a:extLst>
            <a:ext uri="{FF2B5EF4-FFF2-40B4-BE49-F238E27FC236}">
              <a16:creationId xmlns:a16="http://schemas.microsoft.com/office/drawing/2014/main" id="{4BE58744-2B72-4BEC-9D85-030CD3469905}"/>
            </a:ext>
          </a:extLst>
        </xdr:cNvPr>
        <xdr:cNvSpPr/>
      </xdr:nvSpPr>
      <xdr:spPr>
        <a:xfrm rot="8834527">
          <a:off x="6304360" y="1928813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53</xdr:col>
      <xdr:colOff>77390</xdr:colOff>
      <xdr:row>11</xdr:row>
      <xdr:rowOff>196454</xdr:rowOff>
    </xdr:from>
    <xdr:to>
      <xdr:col>55</xdr:col>
      <xdr:colOff>29765</xdr:colOff>
      <xdr:row>12</xdr:row>
      <xdr:rowOff>89297</xdr:rowOff>
    </xdr:to>
    <xdr:sp macro="" textlink="">
      <xdr:nvSpPr>
        <xdr:cNvPr id="70" name="Arrow: Pentagon 69">
          <a:extLst>
            <a:ext uri="{FF2B5EF4-FFF2-40B4-BE49-F238E27FC236}">
              <a16:creationId xmlns:a16="http://schemas.microsoft.com/office/drawing/2014/main" id="{875ABA86-BFED-4A40-A9ED-6BA79FADA81E}"/>
            </a:ext>
          </a:extLst>
        </xdr:cNvPr>
        <xdr:cNvSpPr/>
      </xdr:nvSpPr>
      <xdr:spPr>
        <a:xfrm rot="11624402">
          <a:off x="9554765" y="2452688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119062</xdr:colOff>
      <xdr:row>10</xdr:row>
      <xdr:rowOff>35720</xdr:rowOff>
    </xdr:from>
    <xdr:to>
      <xdr:col>10</xdr:col>
      <xdr:colOff>71437</xdr:colOff>
      <xdr:row>10</xdr:row>
      <xdr:rowOff>130970</xdr:rowOff>
    </xdr:to>
    <xdr:sp macro="" textlink="">
      <xdr:nvSpPr>
        <xdr:cNvPr id="74" name="Arrow: Pentagon 73">
          <a:extLst>
            <a:ext uri="{FF2B5EF4-FFF2-40B4-BE49-F238E27FC236}">
              <a16:creationId xmlns:a16="http://schemas.microsoft.com/office/drawing/2014/main" id="{149E7D32-CC7A-4F8A-BDA0-8091DB7E8F12}"/>
            </a:ext>
          </a:extLst>
        </xdr:cNvPr>
        <xdr:cNvSpPr/>
      </xdr:nvSpPr>
      <xdr:spPr>
        <a:xfrm rot="10001720">
          <a:off x="1547812" y="2089548"/>
          <a:ext cx="309563" cy="95250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 editAs="oneCell">
    <xdr:from>
      <xdr:col>10</xdr:col>
      <xdr:colOff>168466</xdr:colOff>
      <xdr:row>6</xdr:row>
      <xdr:rowOff>174076</xdr:rowOff>
    </xdr:from>
    <xdr:to>
      <xdr:col>11</xdr:col>
      <xdr:colOff>71333</xdr:colOff>
      <xdr:row>7</xdr:row>
      <xdr:rowOff>72115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CAF512B-4CB1-42AF-8FEE-4D33339DEFFA}"/>
                </a:ext>
              </a:extLst>
            </xdr14:cNvPr>
            <xdr14:cNvContentPartPr/>
          </xdr14:nvContentPartPr>
          <xdr14:nvPr macro=""/>
          <xdr14:xfrm>
            <a:off x="1954404" y="1400420"/>
            <a:ext cx="81460" cy="106398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8FBF258-4436-4D9E-97EC-CE15A0754A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27460" y="1373099"/>
              <a:ext cx="104212" cy="129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92044</xdr:colOff>
      <xdr:row>14</xdr:row>
      <xdr:rowOff>132342</xdr:rowOff>
    </xdr:from>
    <xdr:to>
      <xdr:col>11</xdr:col>
      <xdr:colOff>164864</xdr:colOff>
      <xdr:row>15</xdr:row>
      <xdr:rowOff>45140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15FFE631-BC71-4D24-8E2D-46C242E6F458}"/>
                </a:ext>
              </a:extLst>
            </xdr14:cNvPr>
            <xdr14:cNvContentPartPr/>
          </xdr14:nvContentPartPr>
          <xdr14:nvPr macro=""/>
          <xdr14:xfrm>
            <a:off x="2056575" y="3001748"/>
            <a:ext cx="72820" cy="121158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C276AAB-1078-48C5-A3A7-83AB2F4EE3C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34305" y="2950642"/>
              <a:ext cx="95722" cy="14377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23813</xdr:colOff>
      <xdr:row>16</xdr:row>
      <xdr:rowOff>148440</xdr:rowOff>
    </xdr:from>
    <xdr:to>
      <xdr:col>37</xdr:col>
      <xdr:colOff>119476</xdr:colOff>
      <xdr:row>16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AAAB8E2-1DE0-EE8E-F863-576AFD7C084D}"/>
                </a:ext>
              </a:extLst>
            </xdr14:cNvPr>
            <xdr14:cNvContentPartPr/>
          </xdr14:nvContentPartPr>
          <xdr14:nvPr macro=""/>
          <xdr14:xfrm>
            <a:off x="7643813" y="910440"/>
            <a:ext cx="1286288" cy="3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AAAB8E2-1DE0-EE8E-F863-576AFD7C084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634808" y="901800"/>
              <a:ext cx="1303938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18420</xdr:colOff>
      <xdr:row>15</xdr:row>
      <xdr:rowOff>5940</xdr:rowOff>
    </xdr:from>
    <xdr:to>
      <xdr:col>32</xdr:col>
      <xdr:colOff>155220</xdr:colOff>
      <xdr:row>16</xdr:row>
      <xdr:rowOff>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6757946-3259-626A-1211-12361939987C}"/>
                </a:ext>
              </a:extLst>
            </xdr14:cNvPr>
            <xdr14:cNvContentPartPr/>
          </xdr14:nvContentPartPr>
          <xdr14:nvPr macro=""/>
          <xdr14:xfrm>
            <a:off x="7638420" y="577440"/>
            <a:ext cx="136800" cy="1969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6757946-3259-626A-1211-12361939987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629420" y="568440"/>
              <a:ext cx="15444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4132</xdr:colOff>
      <xdr:row>21</xdr:row>
      <xdr:rowOff>21418</xdr:rowOff>
    </xdr:from>
    <xdr:to>
      <xdr:col>32</xdr:col>
      <xdr:colOff>140932</xdr:colOff>
      <xdr:row>22</xdr:row>
      <xdr:rowOff>27838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4765896-ED85-4FC0-920A-4DF68629F458}"/>
                </a:ext>
              </a:extLst>
            </xdr14:cNvPr>
            <xdr14:cNvContentPartPr/>
          </xdr14:nvContentPartPr>
          <xdr14:nvPr macro=""/>
          <xdr14:xfrm>
            <a:off x="7624132" y="1747824"/>
            <a:ext cx="136800" cy="1969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4765896-ED85-4FC0-920A-4DF68629F458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615132" y="1738824"/>
              <a:ext cx="15444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27385</xdr:colOff>
      <xdr:row>23</xdr:row>
      <xdr:rowOff>33771</xdr:rowOff>
    </xdr:from>
    <xdr:to>
      <xdr:col>37</xdr:col>
      <xdr:colOff>123048</xdr:colOff>
      <xdr:row>23</xdr:row>
      <xdr:rowOff>34131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7ED1DA78-5024-44A1-9879-7D274C33BC60}"/>
                </a:ext>
              </a:extLst>
            </xdr14:cNvPr>
            <xdr14:cNvContentPartPr/>
          </xdr14:nvContentPartPr>
          <xdr14:nvPr macro=""/>
          <xdr14:xfrm>
            <a:off x="7594833" y="2135840"/>
            <a:ext cx="1278077" cy="3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7ED1DA78-5024-44A1-9879-7D274C33BC6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638380" y="2060278"/>
              <a:ext cx="1303938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19707</xdr:colOff>
      <xdr:row>16</xdr:row>
      <xdr:rowOff>6569</xdr:rowOff>
    </xdr:from>
    <xdr:to>
      <xdr:col>12</xdr:col>
      <xdr:colOff>191287</xdr:colOff>
      <xdr:row>21</xdr:row>
      <xdr:rowOff>114167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B404EAE-2B33-4F70-6438-25170B5FF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38604" y="768569"/>
          <a:ext cx="1590476" cy="10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164225</xdr:colOff>
      <xdr:row>25</xdr:row>
      <xdr:rowOff>72259</xdr:rowOff>
    </xdr:from>
    <xdr:to>
      <xdr:col>16</xdr:col>
      <xdr:colOff>178737</xdr:colOff>
      <xdr:row>28</xdr:row>
      <xdr:rowOff>56095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1C140DE-1B45-9320-B05A-F375D014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604" y="2548759"/>
          <a:ext cx="2142857" cy="56190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12</xdr:col>
      <xdr:colOff>216776</xdr:colOff>
      <xdr:row>16</xdr:row>
      <xdr:rowOff>111672</xdr:rowOff>
    </xdr:from>
    <xdr:to>
      <xdr:col>14</xdr:col>
      <xdr:colOff>183931</xdr:colOff>
      <xdr:row>16</xdr:row>
      <xdr:rowOff>111672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2D20D4F-F6DB-377D-B61C-652A64802F9A}"/>
            </a:ext>
          </a:extLst>
        </xdr:cNvPr>
        <xdr:cNvCxnSpPr/>
      </xdr:nvCxnSpPr>
      <xdr:spPr>
        <a:xfrm flipH="1">
          <a:off x="3054569" y="873672"/>
          <a:ext cx="440121" cy="0"/>
        </a:xfrm>
        <a:prstGeom prst="straightConnector1">
          <a:avLst/>
        </a:prstGeom>
        <a:ln w="57150" cap="flat" cmpd="sng" algn="ctr">
          <a:solidFill>
            <a:schemeClr val="accent1"/>
          </a:solidFill>
          <a:prstDash val="sysDot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19707</xdr:colOff>
      <xdr:row>17</xdr:row>
      <xdr:rowOff>19707</xdr:rowOff>
    </xdr:from>
    <xdr:to>
      <xdr:col>14</xdr:col>
      <xdr:colOff>198382</xdr:colOff>
      <xdr:row>22</xdr:row>
      <xdr:rowOff>93279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8862708-7B20-404B-A913-A4DB3E9BCAD9}"/>
            </a:ext>
          </a:extLst>
        </xdr:cNvPr>
        <xdr:cNvCxnSpPr/>
      </xdr:nvCxnSpPr>
      <xdr:spPr>
        <a:xfrm flipH="1" flipV="1">
          <a:off x="3093983" y="3231931"/>
          <a:ext cx="415158" cy="1032641"/>
        </a:xfrm>
        <a:prstGeom prst="straightConnector1">
          <a:avLst/>
        </a:prstGeom>
        <a:ln w="57150" cap="flat" cmpd="sng" algn="ctr">
          <a:solidFill>
            <a:schemeClr val="accent1"/>
          </a:solidFill>
          <a:prstDash val="sysDot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170792</xdr:colOff>
      <xdr:row>21</xdr:row>
      <xdr:rowOff>98533</xdr:rowOff>
    </xdr:from>
    <xdr:to>
      <xdr:col>16</xdr:col>
      <xdr:colOff>68813</xdr:colOff>
      <xdr:row>23</xdr:row>
      <xdr:rowOff>65689</xdr:rowOff>
    </xdr:to>
    <xdr:sp macro="" textlink="">
      <xdr:nvSpPr>
        <xdr:cNvPr id="14" name="Flowchart: Delay 13">
          <a:extLst>
            <a:ext uri="{FF2B5EF4-FFF2-40B4-BE49-F238E27FC236}">
              <a16:creationId xmlns:a16="http://schemas.microsoft.com/office/drawing/2014/main" id="{B34C3473-A512-230F-EE9C-A421591EB9D4}"/>
            </a:ext>
          </a:extLst>
        </xdr:cNvPr>
        <xdr:cNvSpPr/>
      </xdr:nvSpPr>
      <xdr:spPr>
        <a:xfrm rot="10800000">
          <a:off x="3481551" y="1819602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158967</xdr:colOff>
      <xdr:row>15</xdr:row>
      <xdr:rowOff>99847</xdr:rowOff>
    </xdr:from>
    <xdr:to>
      <xdr:col>16</xdr:col>
      <xdr:colOff>56988</xdr:colOff>
      <xdr:row>17</xdr:row>
      <xdr:rowOff>67003</xdr:rowOff>
    </xdr:to>
    <xdr:sp macro="" textlink="">
      <xdr:nvSpPr>
        <xdr:cNvPr id="15" name="Flowchart: Delay 14">
          <a:extLst>
            <a:ext uri="{FF2B5EF4-FFF2-40B4-BE49-F238E27FC236}">
              <a16:creationId xmlns:a16="http://schemas.microsoft.com/office/drawing/2014/main" id="{ABEF92C5-E0EA-4E70-9035-7AEB8D63C935}"/>
            </a:ext>
          </a:extLst>
        </xdr:cNvPr>
        <xdr:cNvSpPr/>
      </xdr:nvSpPr>
      <xdr:spPr>
        <a:xfrm rot="10800000">
          <a:off x="3469726" y="671347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73571</xdr:colOff>
      <xdr:row>21</xdr:row>
      <xdr:rowOff>139260</xdr:rowOff>
    </xdr:from>
    <xdr:to>
      <xdr:col>26</xdr:col>
      <xdr:colOff>208074</xdr:colOff>
      <xdr:row>23</xdr:row>
      <xdr:rowOff>106416</xdr:rowOff>
    </xdr:to>
    <xdr:sp macro="" textlink="">
      <xdr:nvSpPr>
        <xdr:cNvPr id="18" name="Flowchart: Delay 17">
          <a:extLst>
            <a:ext uri="{FF2B5EF4-FFF2-40B4-BE49-F238E27FC236}">
              <a16:creationId xmlns:a16="http://schemas.microsoft.com/office/drawing/2014/main" id="{1F58B462-E3F1-4BDA-B941-F42A3EFADF9D}"/>
            </a:ext>
          </a:extLst>
        </xdr:cNvPr>
        <xdr:cNvSpPr/>
      </xdr:nvSpPr>
      <xdr:spPr>
        <a:xfrm rot="10800000">
          <a:off x="5985640" y="1860329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61746</xdr:colOff>
      <xdr:row>15</xdr:row>
      <xdr:rowOff>114298</xdr:rowOff>
    </xdr:from>
    <xdr:to>
      <xdr:col>26</xdr:col>
      <xdr:colOff>196249</xdr:colOff>
      <xdr:row>17</xdr:row>
      <xdr:rowOff>81454</xdr:rowOff>
    </xdr:to>
    <xdr:sp macro="" textlink="">
      <xdr:nvSpPr>
        <xdr:cNvPr id="19" name="Flowchart: Delay 18">
          <a:extLst>
            <a:ext uri="{FF2B5EF4-FFF2-40B4-BE49-F238E27FC236}">
              <a16:creationId xmlns:a16="http://schemas.microsoft.com/office/drawing/2014/main" id="{BD11DCBD-9000-4841-839B-73A301F5004C}"/>
            </a:ext>
          </a:extLst>
        </xdr:cNvPr>
        <xdr:cNvSpPr/>
      </xdr:nvSpPr>
      <xdr:spPr>
        <a:xfrm rot="10800000">
          <a:off x="5973815" y="685798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30</xdr:col>
      <xdr:colOff>136635</xdr:colOff>
      <xdr:row>21</xdr:row>
      <xdr:rowOff>149772</xdr:rowOff>
    </xdr:from>
    <xdr:to>
      <xdr:col>32</xdr:col>
      <xdr:colOff>34656</xdr:colOff>
      <xdr:row>23</xdr:row>
      <xdr:rowOff>116928</xdr:rowOff>
    </xdr:to>
    <xdr:sp macro="" textlink="">
      <xdr:nvSpPr>
        <xdr:cNvPr id="26" name="Flowchart: Delay 25">
          <a:extLst>
            <a:ext uri="{FF2B5EF4-FFF2-40B4-BE49-F238E27FC236}">
              <a16:creationId xmlns:a16="http://schemas.microsoft.com/office/drawing/2014/main" id="{6157CC12-4C02-48CB-BE83-DEB0789ECD59}"/>
            </a:ext>
          </a:extLst>
        </xdr:cNvPr>
        <xdr:cNvSpPr/>
      </xdr:nvSpPr>
      <xdr:spPr>
        <a:xfrm rot="10800000">
          <a:off x="7231118" y="1870841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30</xdr:col>
      <xdr:colOff>124810</xdr:colOff>
      <xdr:row>15</xdr:row>
      <xdr:rowOff>118241</xdr:rowOff>
    </xdr:from>
    <xdr:to>
      <xdr:col>32</xdr:col>
      <xdr:colOff>22831</xdr:colOff>
      <xdr:row>17</xdr:row>
      <xdr:rowOff>85397</xdr:rowOff>
    </xdr:to>
    <xdr:sp macro="" textlink="">
      <xdr:nvSpPr>
        <xdr:cNvPr id="35" name="Flowchart: Delay 34">
          <a:extLst>
            <a:ext uri="{FF2B5EF4-FFF2-40B4-BE49-F238E27FC236}">
              <a16:creationId xmlns:a16="http://schemas.microsoft.com/office/drawing/2014/main" id="{305ED272-6B30-4B8E-96CC-11B9D3275BD6}"/>
            </a:ext>
          </a:extLst>
        </xdr:cNvPr>
        <xdr:cNvSpPr/>
      </xdr:nvSpPr>
      <xdr:spPr>
        <a:xfrm rot="10800000">
          <a:off x="7219293" y="689741"/>
          <a:ext cx="370986" cy="348156"/>
        </a:xfrm>
        <a:prstGeom prst="flowChartDelay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 editAs="oneCell">
    <xdr:from>
      <xdr:col>12</xdr:col>
      <xdr:colOff>110967</xdr:colOff>
      <xdr:row>16</xdr:row>
      <xdr:rowOff>158160</xdr:rowOff>
    </xdr:from>
    <xdr:to>
      <xdr:col>14</xdr:col>
      <xdr:colOff>181601</xdr:colOff>
      <xdr:row>25</xdr:row>
      <xdr:rowOff>32971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AB198FE9-6681-16A8-AB58-9CCBED4D74EF}"/>
                </a:ext>
              </a:extLst>
            </xdr14:cNvPr>
            <xdr14:cNvContentPartPr/>
          </xdr14:nvContentPartPr>
          <xdr14:nvPr macro=""/>
          <xdr14:xfrm>
            <a:off x="2948760" y="920160"/>
            <a:ext cx="543600" cy="15958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B198FE9-6681-16A8-AB58-9CCBED4D74E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939760" y="911520"/>
              <a:ext cx="561240" cy="161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197068</xdr:colOff>
      <xdr:row>23</xdr:row>
      <xdr:rowOff>86621</xdr:rowOff>
    </xdr:from>
    <xdr:to>
      <xdr:col>24</xdr:col>
      <xdr:colOff>221226</xdr:colOff>
      <xdr:row>25</xdr:row>
      <xdr:rowOff>72258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5BDC97C7-14CD-47FA-E62B-F29AEC0A0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44082"/>
        <a:stretch/>
      </xdr:blipFill>
      <xdr:spPr>
        <a:xfrm>
          <a:off x="3980792" y="2182121"/>
          <a:ext cx="1916020" cy="36663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30</xdr:col>
      <xdr:colOff>72257</xdr:colOff>
      <xdr:row>26</xdr:row>
      <xdr:rowOff>34426</xdr:rowOff>
    </xdr:from>
    <xdr:to>
      <xdr:col>40</xdr:col>
      <xdr:colOff>46897</xdr:colOff>
      <xdr:row>28</xdr:row>
      <xdr:rowOff>169060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F86AF2DF-1023-3835-D663-48ECB2215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66740" y="2707995"/>
          <a:ext cx="2339467" cy="52220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32</xdr:col>
      <xdr:colOff>38272</xdr:colOff>
      <xdr:row>14</xdr:row>
      <xdr:rowOff>960</xdr:rowOff>
    </xdr:from>
    <xdr:to>
      <xdr:col>36</xdr:col>
      <xdr:colOff>177741</xdr:colOff>
      <xdr:row>26</xdr:row>
      <xdr:rowOff>19951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10801DA8-CE45-FE2E-32E5-074DEB948AD8}"/>
                </a:ext>
              </a:extLst>
            </xdr14:cNvPr>
            <xdr14:cNvContentPartPr/>
          </xdr14:nvContentPartPr>
          <xdr14:nvPr macro=""/>
          <xdr14:xfrm>
            <a:off x="7605720" y="381960"/>
            <a:ext cx="1085400" cy="2311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10801DA8-CE45-FE2E-32E5-074DEB948AD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597077" y="372960"/>
              <a:ext cx="1103046" cy="232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154366</xdr:colOff>
      <xdr:row>14</xdr:row>
      <xdr:rowOff>148200</xdr:rowOff>
    </xdr:from>
    <xdr:to>
      <xdr:col>29</xdr:col>
      <xdr:colOff>39960</xdr:colOff>
      <xdr:row>26</xdr:row>
      <xdr:rowOff>111672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3FBE46D3-C1DC-E284-3268-5624508BAB8E}"/>
                </a:ext>
              </a:extLst>
            </xdr14:cNvPr>
            <xdr14:cNvContentPartPr/>
          </xdr14:nvContentPartPr>
          <xdr14:nvPr macro=""/>
          <xdr14:xfrm>
            <a:off x="6539400" y="529200"/>
            <a:ext cx="358560" cy="2256041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3FBE46D3-C1DC-E284-3268-5624508BAB8E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530760" y="520200"/>
              <a:ext cx="376200" cy="2273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16</xdr:col>
      <xdr:colOff>60434</xdr:colOff>
      <xdr:row>15</xdr:row>
      <xdr:rowOff>6569</xdr:rowOff>
    </xdr:from>
    <xdr:to>
      <xdr:col>16</xdr:col>
      <xdr:colOff>216776</xdr:colOff>
      <xdr:row>22</xdr:row>
      <xdr:rowOff>39414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BF1A3D54-95B5-713E-A2A3-B9DF51D4401E}"/>
            </a:ext>
          </a:extLst>
        </xdr:cNvPr>
        <xdr:cNvGrpSpPr/>
      </xdr:nvGrpSpPr>
      <xdr:grpSpPr>
        <a:xfrm>
          <a:off x="3903564" y="2830939"/>
          <a:ext cx="156342" cy="1374627"/>
          <a:chOff x="3844158" y="578069"/>
          <a:chExt cx="156342" cy="1372914"/>
        </a:xfrm>
      </xdr:grpSpPr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17A80D5F-5347-C63A-2BF9-511C04672AD9}"/>
              </a:ext>
            </a:extLst>
          </xdr:cNvPr>
          <xdr:cNvCxnSpPr/>
        </xdr:nvCxnSpPr>
        <xdr:spPr>
          <a:xfrm>
            <a:off x="3974224" y="578069"/>
            <a:ext cx="6569" cy="1372914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4C4ECAD3-6305-4074-994A-640D492FF0D9}"/>
              </a:ext>
            </a:extLst>
          </xdr:cNvPr>
          <xdr:cNvCxnSpPr/>
        </xdr:nvCxnSpPr>
        <xdr:spPr>
          <a:xfrm>
            <a:off x="3849414" y="729155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C9682DB8-6C4D-4718-B1F7-85BB42366181}"/>
              </a:ext>
            </a:extLst>
          </xdr:cNvPr>
          <xdr:cNvCxnSpPr/>
        </xdr:nvCxnSpPr>
        <xdr:spPr>
          <a:xfrm>
            <a:off x="3844158" y="1932590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193127</xdr:colOff>
      <xdr:row>15</xdr:row>
      <xdr:rowOff>1313</xdr:rowOff>
    </xdr:from>
    <xdr:to>
      <xdr:col>27</xdr:col>
      <xdr:colOff>112987</xdr:colOff>
      <xdr:row>22</xdr:row>
      <xdr:rowOff>34158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8FACB693-E2C4-4F52-899D-F988A633E59A}"/>
            </a:ext>
          </a:extLst>
        </xdr:cNvPr>
        <xdr:cNvGrpSpPr/>
      </xdr:nvGrpSpPr>
      <xdr:grpSpPr>
        <a:xfrm>
          <a:off x="6438214" y="2825683"/>
          <a:ext cx="160056" cy="1374627"/>
          <a:chOff x="3844158" y="578069"/>
          <a:chExt cx="156342" cy="1372914"/>
        </a:xfrm>
      </xdr:grpSpPr>
      <xdr:cxnSp macro="">
        <xdr:nvCxnSpPr>
          <xdr:cNvPr id="60" name="Straight Connector 59">
            <a:extLst>
              <a:ext uri="{FF2B5EF4-FFF2-40B4-BE49-F238E27FC236}">
                <a16:creationId xmlns:a16="http://schemas.microsoft.com/office/drawing/2014/main" id="{848D9B10-6177-798E-7937-ADD39E6A63BE}"/>
              </a:ext>
            </a:extLst>
          </xdr:cNvPr>
          <xdr:cNvCxnSpPr/>
        </xdr:nvCxnSpPr>
        <xdr:spPr>
          <a:xfrm>
            <a:off x="3974224" y="578069"/>
            <a:ext cx="6569" cy="1372914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94B6996F-F054-5A69-453B-FE57F7783A11}"/>
              </a:ext>
            </a:extLst>
          </xdr:cNvPr>
          <xdr:cNvCxnSpPr/>
        </xdr:nvCxnSpPr>
        <xdr:spPr>
          <a:xfrm>
            <a:off x="3849414" y="729155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879AFEBF-0F09-F97D-93D8-41B20AD831F2}"/>
              </a:ext>
            </a:extLst>
          </xdr:cNvPr>
          <xdr:cNvCxnSpPr/>
        </xdr:nvCxnSpPr>
        <xdr:spPr>
          <a:xfrm>
            <a:off x="3844158" y="1932590"/>
            <a:ext cx="151086" cy="6569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56988</xdr:colOff>
      <xdr:row>16</xdr:row>
      <xdr:rowOff>109700</xdr:rowOff>
    </xdr:from>
    <xdr:to>
      <xdr:col>25</xdr:col>
      <xdr:colOff>61746</xdr:colOff>
      <xdr:row>16</xdr:row>
      <xdr:rowOff>124151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1F569469-2BD5-2F64-4279-1342DE11A740}"/>
            </a:ext>
          </a:extLst>
        </xdr:cNvPr>
        <xdr:cNvCxnSpPr/>
      </xdr:nvCxnSpPr>
      <xdr:spPr>
        <a:xfrm flipH="1" flipV="1">
          <a:off x="3840712" y="871700"/>
          <a:ext cx="2133103" cy="14451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64871</xdr:colOff>
      <xdr:row>22</xdr:row>
      <xdr:rowOff>124152</xdr:rowOff>
    </xdr:from>
    <xdr:to>
      <xdr:col>25</xdr:col>
      <xdr:colOff>69629</xdr:colOff>
      <xdr:row>22</xdr:row>
      <xdr:rowOff>138603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781A6B81-F67C-4672-8741-C16513365A27}"/>
            </a:ext>
          </a:extLst>
        </xdr:cNvPr>
        <xdr:cNvCxnSpPr/>
      </xdr:nvCxnSpPr>
      <xdr:spPr>
        <a:xfrm flipH="1" flipV="1">
          <a:off x="3848595" y="2035721"/>
          <a:ext cx="2133103" cy="14451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196249</xdr:colOff>
      <xdr:row>16</xdr:row>
      <xdr:rowOff>97876</xdr:rowOff>
    </xdr:from>
    <xdr:to>
      <xdr:col>30</xdr:col>
      <xdr:colOff>124810</xdr:colOff>
      <xdr:row>16</xdr:row>
      <xdr:rowOff>101819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B4A3373B-C017-486A-B495-21549532D3DD}"/>
            </a:ext>
          </a:extLst>
        </xdr:cNvPr>
        <xdr:cNvCxnSpPr>
          <a:stCxn id="35" idx="3"/>
          <a:endCxn id="19" idx="1"/>
        </xdr:cNvCxnSpPr>
      </xdr:nvCxnSpPr>
      <xdr:spPr>
        <a:xfrm flipH="1" flipV="1">
          <a:off x="6344801" y="859876"/>
          <a:ext cx="874492" cy="3943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208074</xdr:colOff>
      <xdr:row>22</xdr:row>
      <xdr:rowOff>122838</xdr:rowOff>
    </xdr:from>
    <xdr:to>
      <xdr:col>30</xdr:col>
      <xdr:colOff>136635</xdr:colOff>
      <xdr:row>22</xdr:row>
      <xdr:rowOff>133350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4F044F0B-EBFA-4DA1-A518-CB38A2E9A472}"/>
            </a:ext>
          </a:extLst>
        </xdr:cNvPr>
        <xdr:cNvCxnSpPr>
          <a:stCxn id="26" idx="3"/>
          <a:endCxn id="18" idx="1"/>
        </xdr:cNvCxnSpPr>
      </xdr:nvCxnSpPr>
      <xdr:spPr>
        <a:xfrm flipH="1" flipV="1">
          <a:off x="6356626" y="2034407"/>
          <a:ext cx="874492" cy="10512"/>
        </a:xfrm>
        <a:prstGeom prst="line">
          <a:avLst/>
        </a:prstGeom>
        <a:ln w="38100">
          <a:prstDash val="sysDot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177362</xdr:colOff>
      <xdr:row>25</xdr:row>
      <xdr:rowOff>177361</xdr:rowOff>
    </xdr:from>
    <xdr:to>
      <xdr:col>27</xdr:col>
      <xdr:colOff>201520</xdr:colOff>
      <xdr:row>27</xdr:row>
      <xdr:rowOff>105103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466C765B-1DD1-4380-88AD-B6310F97BD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51910"/>
        <a:stretch/>
      </xdr:blipFill>
      <xdr:spPr>
        <a:xfrm>
          <a:off x="4670534" y="2653861"/>
          <a:ext cx="1916020" cy="31531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9</xdr:col>
      <xdr:colOff>179580</xdr:colOff>
      <xdr:row>0</xdr:row>
      <xdr:rowOff>0</xdr:rowOff>
    </xdr:from>
    <xdr:to>
      <xdr:col>23</xdr:col>
      <xdr:colOff>4290</xdr:colOff>
      <xdr:row>11</xdr:row>
      <xdr:rowOff>123381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33A59D35-3F14-D5D5-49D8-B8A9C34B0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307925" y="0"/>
          <a:ext cx="3135468" cy="2186036"/>
        </a:xfrm>
        <a:prstGeom prst="rect">
          <a:avLst/>
        </a:prstGeom>
        <a:ln>
          <a:solidFill>
            <a:schemeClr val="accent5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32</xdr:col>
      <xdr:colOff>65632</xdr:colOff>
      <xdr:row>7</xdr:row>
      <xdr:rowOff>124585</xdr:rowOff>
    </xdr:from>
    <xdr:to>
      <xdr:col>32</xdr:col>
      <xdr:colOff>67072</xdr:colOff>
      <xdr:row>7</xdr:row>
      <xdr:rowOff>124945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2066C14C-22E6-0697-8444-EEB79390B3C8}"/>
                </a:ext>
              </a:extLst>
            </xdr14:cNvPr>
            <xdr14:cNvContentPartPr/>
          </xdr14:nvContentPartPr>
          <xdr14:nvPr macro=""/>
          <xdr14:xfrm>
            <a:off x="7633080" y="1425240"/>
            <a:ext cx="1440" cy="3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2066C14C-22E6-0697-8444-EEB79390B3C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624080" y="1416600"/>
              <a:ext cx="1908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25</xdr:col>
      <xdr:colOff>85397</xdr:colOff>
      <xdr:row>18</xdr:row>
      <xdr:rowOff>151086</xdr:rowOff>
    </xdr:from>
    <xdr:to>
      <xdr:col>31</xdr:col>
      <xdr:colOff>111672</xdr:colOff>
      <xdr:row>20</xdr:row>
      <xdr:rowOff>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9E4631FA-B6A5-4798-9724-253D08AE2B8D}"/>
            </a:ext>
          </a:extLst>
        </xdr:cNvPr>
        <xdr:cNvCxnSpPr/>
      </xdr:nvCxnSpPr>
      <xdr:spPr>
        <a:xfrm flipH="1">
          <a:off x="5997466" y="3553810"/>
          <a:ext cx="1445172" cy="236483"/>
        </a:xfrm>
        <a:prstGeom prst="straightConnector1">
          <a:avLst/>
        </a:prstGeom>
        <a:ln w="57150" cap="flat" cmpd="sng" algn="ctr">
          <a:solidFill>
            <a:schemeClr val="accent5">
              <a:lumMod val="60000"/>
              <a:lumOff val="40000"/>
            </a:schemeClr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203638</xdr:colOff>
      <xdr:row>20</xdr:row>
      <xdr:rowOff>47296</xdr:rowOff>
    </xdr:from>
    <xdr:to>
      <xdr:col>30</xdr:col>
      <xdr:colOff>211521</xdr:colOff>
      <xdr:row>20</xdr:row>
      <xdr:rowOff>111673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6E21EB93-2D66-4FEB-8B54-1445A7691B2A}"/>
            </a:ext>
          </a:extLst>
        </xdr:cNvPr>
        <xdr:cNvCxnSpPr/>
      </xdr:nvCxnSpPr>
      <xdr:spPr>
        <a:xfrm flipH="1">
          <a:off x="6115707" y="3837589"/>
          <a:ext cx="1190297" cy="64377"/>
        </a:xfrm>
        <a:prstGeom prst="straightConnector1">
          <a:avLst/>
        </a:prstGeom>
        <a:ln w="57150" cap="flat" cmpd="sng" algn="ctr">
          <a:solidFill>
            <a:schemeClr val="accent5">
              <a:lumMod val="60000"/>
              <a:lumOff val="40000"/>
            </a:schemeClr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10961</xdr:colOff>
      <xdr:row>4</xdr:row>
      <xdr:rowOff>117565</xdr:rowOff>
    </xdr:from>
    <xdr:to>
      <xdr:col>24</xdr:col>
      <xdr:colOff>223374</xdr:colOff>
      <xdr:row>23</xdr:row>
      <xdr:rowOff>98534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14F437E-D861-6D68-21F1-41A2EF5396EC}"/>
                </a:ext>
              </a:extLst>
            </xdr14:cNvPr>
            <xdr14:cNvContentPartPr/>
          </xdr14:nvContentPartPr>
          <xdr14:nvPr macro=""/>
          <xdr14:xfrm>
            <a:off x="3321720" y="866427"/>
            <a:ext cx="2577240" cy="35939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14F437E-D861-6D68-21F1-41A2EF5396E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2864" y="857419"/>
              <a:ext cx="2594599" cy="361155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22218</xdr:colOff>
      <xdr:row>0</xdr:row>
      <xdr:rowOff>437428</xdr:rowOff>
    </xdr:from>
    <xdr:to>
      <xdr:col>2</xdr:col>
      <xdr:colOff>460832</xdr:colOff>
      <xdr:row>2</xdr:row>
      <xdr:rowOff>1600</xdr:rowOff>
    </xdr:to>
    <xdr:pic>
      <xdr:nvPicPr>
        <xdr:cNvPr id="3" name="Graphic 2" descr="Alien Face with solid fill">
          <a:extLst>
            <a:ext uri="{FF2B5EF4-FFF2-40B4-BE49-F238E27FC236}">
              <a16:creationId xmlns:a16="http://schemas.microsoft.com/office/drawing/2014/main" id="{42D83647-7AF2-3991-46C6-A6BB8675E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379" y="437428"/>
          <a:ext cx="438614" cy="440233"/>
        </a:xfrm>
        <a:prstGeom prst="rect">
          <a:avLst/>
        </a:prstGeom>
      </xdr:spPr>
    </xdr:pic>
    <xdr:clientData/>
  </xdr:twoCellAnchor>
  <xdr:oneCellAnchor>
    <xdr:from>
      <xdr:col>7</xdr:col>
      <xdr:colOff>22218</xdr:colOff>
      <xdr:row>0</xdr:row>
      <xdr:rowOff>437428</xdr:rowOff>
    </xdr:from>
    <xdr:ext cx="438614" cy="438061"/>
    <xdr:pic>
      <xdr:nvPicPr>
        <xdr:cNvPr id="5" name="Graphic 4" descr="Alien Face with solid fill">
          <a:extLst>
            <a:ext uri="{FF2B5EF4-FFF2-40B4-BE49-F238E27FC236}">
              <a16:creationId xmlns:a16="http://schemas.microsoft.com/office/drawing/2014/main" id="{41995D07-FC74-48ED-A349-D8F817BE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2261" y="437428"/>
          <a:ext cx="438614" cy="43806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2:52.109"/>
    </inkml:context>
    <inkml:brush xml:id="br0">
      <inkml:brushProperty name="width" value="0.1" units="cm"/>
      <inkml:brushProperty name="height" value="0.1" units="cm"/>
    </inkml:brush>
  </inkml:definitions>
  <inkml:trace contextRef="#ctx0" brushRef="#br0">0 1 24575,'0'3'0,"0"0"0,0 1 0,1-1 0,-1 0 0,1 1 0,0-1 0,-1 0 0,2 0 0,-1 1 0,0-1 0,1 0 0,-1 0 0,1 0 0,3 4 0,1-1 0,0-1 0,0 0 0,0 0 0,13 8 0,-4-3 0,19 19 0,-29-24 0,0 1 0,0-2 0,1 1 0,0-1 0,-1 0 0,13 6 0,-15-9 0,-1 0 0,0-1 0,1 1 0,-1-1 0,1 1 0,-1-1 0,1 0 0,-1 0 0,1-1 0,0 1 0,-1 0 0,0-1 0,1 1 0,-1-1 0,1 0 0,-1 0 0,0 0 0,1 0 0,-1 0 0,0-1 0,0 1 0,0-1 0,0 1 0,2-3 0,35-31 0,-18 17 0,36-27 0,-55 44-105,0-1 0,0 1 0,0-1 0,0 0 0,-1 1 0,1-1 0,0 0 0,-1 0 0,1 0 0,-1 0 0,0 0 0,2-3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2:54.964"/>
    </inkml:context>
    <inkml:brush xml:id="br0">
      <inkml:brushProperty name="width" value="0.1" units="cm"/>
      <inkml:brushProperty name="height" value="0.1" units="cm"/>
    </inkml:brush>
  </inkml:definitions>
  <inkml:trace contextRef="#ctx0" brushRef="#br0">0 1 24575,'5'1'0,"1"0"0,-1 1 0,0-1 0,0 1 0,0 0 0,-1 1 0,1-1 0,8 7 0,20 8 0,-27-15 0,0 1 0,0 0 0,0 0 0,-1 0 0,1 1 0,-1-1 0,0 1 0,0 1 0,8 8 0,4 3 0,-15-14 0,0-1 0,0 0 0,0 0 0,0 0 0,0 0 0,0 0 0,0 0 0,1-1 0,-1 1 0,0-1 0,0 0 0,0 1 0,1-1 0,-1 0 0,0 0 0,1 0 0,-1-1 0,0 1 0,0 0 0,0-1 0,1 0 0,-1 1 0,0-1 0,3-2 0,56-32 0,-35 19 0,-11 7-120,1 0-191,0 1 0,0 0-1,21-6 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05.96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562 56 24575,'9'1'0,"0"1"0,-1 0 0,0 0 0,1 1 0,-1 0 0,15 7 0,17 7 0,-38-16 0,1-1 0,-1 1 0,0 0 0,0 0 0,0 0 0,0 0 0,0 0 0,0 1 0,-1-1 0,1 1 0,0-1 0,-1 1 0,1-1 0,-1 1 0,1 0 0,-1 0 0,0 0 0,0 0 0,0 0 0,1 3 0,-1-4 0,-1 0 0,0 1 0,0-1 0,0 0 0,0 1 0,0-1 0,0 0 0,0 1 0,-1-1 0,1 0 0,0 1 0,-1-1 0,1 0 0,-1 1 0,1-1 0,-1 0 0,0 0 0,0 0 0,1 0 0,-1 0 0,0 0 0,0 0 0,0 0 0,0 0 0,0 0 0,0 0 0,0 0 0,-1-1 0,1 1 0,0 0 0,0-1 0,-1 1 0,1-1 0,-3 1 0,-5 3-91,1 0 0,-1 1 0,1 0 0,0 1 0,0-1 0,0 1 0,1 1 0,0 0 0,0 0 0,1 0 0,0 1 0,0 0 0,1 0 0,-8 15 0</inkml:trace>
  <inkml:trace contextRef="#ctx0" brushRef="#br0" timeOffset="1691.57">311 0 24575,'-18'3'0,"0"0"0,0 1 0,0 0 0,0 2 0,1 0 0,-27 13 0,15-6 0,21-9 0,-1 1 0,1 0 0,0 0 0,1 1 0,-1-1 0,1 2 0,0-1 0,1 1 0,-1 0 0,-6 11 0,-1-1 0,0-3 0,-1 3 0,15-16 0,1 0 0,-1 0 0,0 0 0,0 0 0,1-1 0,-1 1 0,1 0 0,-1 0 0,0 0 0,1 0 0,0 0 0,-1 0 0,1-1 0,0 1 0,-1 0 0,1-1 0,0 1 0,0 0 0,-1-1 0,1 1 0,0-1 0,0 1 0,0-1 0,0 1 0,1-1 0,67 47 43,-46-31-513,0 0 1,40 19 0</inkml:trace>
  <inkml:trace contextRef="#ctx0" brushRef="#br0" timeOffset="2033.57">228 334 24575,'3'0'0</inkml:trace>
  <inkml:trace contextRef="#ctx0" brushRef="#br0" timeOffset="2034.57">270 349 24575,'0'0'-8191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25.38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43 0 24575,'8'2'0,"-1"0"0,1 1 0,-1 0 0,1 0 0,-1 0 0,0 1 0,0 0 0,12 9 0,12 6 0,-9-8 0,-12-7 0,-1 0 0,0 1 0,-1 0 0,16 12 0,-23-16 0,-1 0 0,1-1 0,-1 1 0,0 0 0,1 0 0,-1 0 0,0-1 0,1 1 0,-1 0 0,0 0 0,0 0 0,0 0 0,0-1 0,0 1 0,0 0 0,0 0 0,0 0 0,0 0 0,0 0 0,-1-1 0,1 1 0,0 0 0,0 0 0,-1 0 0,1 0 0,-1-1 0,1 1 0,-1 0 0,1-1 0,-1 1 0,1 0 0,-1-1 0,1 1 0,-1-1 0,0 1 0,1 0 0,-1-1 0,0 0 0,0 1 0,-1 0 0,-41 26 0,28-18 0,-105 89-3,73-58-1359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28.251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214 0 24575,'-5'2'0,"1"-1"0,-1 1 0,1-1 0,-1 1 0,1 1 0,0-1 0,0 1 0,0-1 0,0 1 0,0 0 0,1 0 0,-1 1 0,-4 6 0,-19 14 0,14-15 0,1 1 0,0 1 0,1 0 0,1 0 0,-11 14 0,-17 19 0,37-43 0,0 0 0,1-1 0,-1 1 0,0 0 0,1 0 0,-1 0 0,1 0 0,-1 0 0,1 0 0,0 0 0,-1 0 0,1 0 0,0 0 0,0 0 0,0 0 0,-1 0 0,1 0 0,0 0 0,1 0 0,-1 0 0,0 0 0,0 0 0,0 0 0,0 0 0,1 0 0,-1 0 0,1 0 0,-1 0 0,0 0 0,1 0 0,0 0 0,-1 0 0,1 0 0,0 0 0,-1-1 0,1 1 0,0 0 0,0-1 0,-1 1 0,1 0 0,0-1 0,0 1 0,2 0 0,54 29 0,-32-17 0,61 55 0,-77-62-1365,0-2-5461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14:03:31.25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 24575,'10'1'0,"1"0"0,-1 1 0,0 0 0,0 0 0,0 1 0,0 1 0,0 0 0,-1 0 0,12 8 0,-4-3 0,-1 2 0,-1 0 0,0 0 0,17 18 0,-31-28 0,0 0 0,0 0 0,0 0 0,0 0 0,0 1 0,-1-1 0,1 0 0,0 0 0,-1 0 0,1 1 0,-1-1 0,1 0 0,-1 1 0,0-1 0,1 0 0,-1 1 0,0-1 0,0 0 0,0 1 0,0-1 0,0 0 0,0 1 0,0-1 0,-1 1 0,1-1 0,0 0 0,-1 0 0,1 1 0,-1-1 0,0 0 0,1 0 0,-1 1 0,0-1 0,0 0 0,1 0 0,-3 2 0,-5 4 0,1 0 0,-2 0 0,1-1 0,-12 8 0,-14 11 0,22-13-455,0 1 0,-19 28 0,26-32-6371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24:07.081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43 0 24575,'8'2'0,"-1"0"0,1 1 0,-1 0 0,1 0 0,-1 0 0,0 1 0,0 0 0,12 9 0,12 6 0,-9-8 0,-12-7 0,-1 0 0,0 1 0,-1 0 0,16 12 0,-23-16 0,-1 0 0,1-1 0,-1 1 0,0 0 0,1 0 0,-1 0 0,0-1 0,1 1 0,-1 0 0,0 0 0,0 0 0,0 0 0,0-1 0,0 1 0,0 0 0,0 0 0,0 0 0,0 0 0,0 0 0,-1-1 0,1 1 0,0 0 0,0 0 0,-1 0 0,1 0 0,-1-1 0,1 1 0,-1 0 0,1-1 0,-1 1 0,1 0 0,-1-1 0,1 1 0,-1-1 0,0 1 0,1 0 0,-1-1 0,0 0 0,0 1 0,-1 0 0,-41 26 0,28-18 0,-105 89-3,73-58-1359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24:37.152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219 0 24575,'-4'2'0,"-1"-1"0,0 1 0,1-1 0,-1 1 0,1 0 0,0 1 0,-1-1 0,1 1 0,0 0 0,1 0 0,-1 0 0,0 0 0,-4 7 0,-20 14 0,15-15 0,1 1 0,0 0 0,0 1 0,1 0 0,-9 14 0,-20 18 0,39-42 0,1 0 0,-1 0 0,0-1 0,1 1 0,-1 0 0,0 0 0,1 0 0,0 0 0,-1 0 0,1 0 0,-1 0 0,1 0 0,0 0 0,0 0 0,0 0 0,0 0 0,-1 0 0,1 0 0,1 0 0,-1 0 0,0 0 0,0 0 0,0 0 0,0 0 0,1 0 0,-1 0 0,1 0 0,-1 0 0,1 0 0,-1 0 0,1 0 0,-1 0 0,1 0 0,0-1 0,-1 1 0,1 0 0,0 0 0,0-1 0,0 1 0,0-1 0,-1 1 0,1-1 0,2 2 0,56 28 0,-34-18 0,64 55 0,-80-61-1365,0-2-5461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39:45.751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39:51.850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20.130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29.275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37.659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46.83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49.77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1T23:40:52.457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26:36.373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44 0 24575,'8'2'0,"-1"0"0,2 0 0,-2 1 0,0 0 0,1 1 0,-1 0 0,1 0 0,11 9 0,12 6 0,-7-9 0,-15-6 0,1 1 0,-1-1 0,-1 1 0,17 12 0,-24-16 0,-1-1 0,1 1 0,-1 0 0,0-1 0,1 1 0,-1 0 0,0 0 0,0 0 0,1-1 0,-1 1 0,0 0 0,0 0 0,0 0 0,0-1 0,0 1 0,0 0 0,0 0 0,0 0 0,-1 0 0,1-1 0,0 1 0,0 0 0,-1 0 0,1-1 0,0 2 0,-1-1 0,1 0 0,-1-1 0,1 1 0,-1 0 0,1-1 0,-1 1 0,1-1 0,-1 1 0,0-1 0,1 1 0,-2-1 0,1 1 0,0-1 0,0 1 0,-43 26 0,28-19 0,-106 89-3,73-58-1359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26:50.26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44 0 24575,'8'2'0,"-1"0"0,2 0 0,-2 1 0,0 0 0,1 1 0,-1 0 0,1 0 0,11 9 0,12 6 0,-7-9 0,-15-6 0,1 1 0,-1-1 0,-1 1 0,17 12 0,-24-16 0,-1-1 0,1 1 0,-1 0 0,0-1 0,1 1 0,-1 0 0,0 0 0,0 0 0,1-1 0,-1 1 0,0 0 0,0 0 0,0 0 0,0-1 0,0 1 0,0 0 0,0 0 0,0 0 0,-1 0 0,1-1 0,0 1 0,0 0 0,-1 0 0,1-1 0,0 2 0,-1-1 0,1 0 0,-1-1 0,1 1 0,-1 0 0,1-1 0,-1 1 0,1-1 0,-1 1 0,0-1 0,1 1 0,-2-1 0,1 1 0,0-1 0,0 1 0,-43 26 0,28-19 0,-106 89-3,73-58-1359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57:17.755"/>
    </inkml:context>
    <inkml:brush xml:id="br0">
      <inkml:brushProperty name="width" value="0.05" units="cm"/>
      <inkml:brushProperty name="height" value="0.05" units="cm"/>
      <inkml:brushProperty name="color" value="#CC9900"/>
    </inkml:brush>
  </inkml:definitions>
  <inkml:trace contextRef="#ctx0" brushRef="#br0">42 0 24575,'7'2'0,"0"0"0,1 0 0,-1 1 0,0 0 0,0 0 0,0 1 0,0 0 0,11 9 0,12 5 0,-8-8 0,-13-7 0,0 2 0,0-1 0,-1 1 0,15 11 0,-22-15 0,-1-1 0,1 1 0,-1 0 0,0-1 0,1 1 0,-1 0 0,0 0 0,0 0 0,1-1 0,-1 1 0,0 0 0,0 0 0,0 0 0,0-1 0,0 1 0,0 0 0,0 0 0,0 0 0,-1 0 0,1-1 0,0 1 0,0 0 0,-1 0 0,1-1 0,0 1 0,-1 0 0,1 0 0,-1-1 0,1 1 0,-1 0 0,1-1 0,-1 1 0,1-1 0,-1 1 0,0-1 0,1 1 0,-1-1 0,0 1 0,0-1 0,0 1 0,-41 25 0,27-18 0,-101 85-3,70-55-1359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12T17:57:24.538"/>
    </inkml:context>
    <inkml:brush xml:id="br0">
      <inkml:brushProperty name="width" value="0.05" units="cm"/>
      <inkml:brushProperty name="height" value="0.05" units="cm"/>
      <inkml:brushProperty name="color" value="#000099"/>
    </inkml:brush>
  </inkml:definitions>
  <inkml:trace contextRef="#ctx0" brushRef="#br0">207 0 24575,'-5'2'0,"1"-1"0,0 0 0,-1 1 0,1 0 0,0 0 0,0 0 0,0 1 0,0-1 0,0 1 0,1 0 0,-1 0 0,1 0 0,-5 7 0,-19 13 0,15-14 0,1 0 0,-1 1 0,2 1 0,-1 0 0,-8 12 0,-18 20 0,36-43 0,0 1 0,1 0 0,-1 0 0,0-1 0,1 1 0,-1 0 0,1 0 0,-1 0 0,1 0 0,0 0 0,-1 0 0,1 0 0,0 0 0,0 0 0,0 0 0,-1 0 0,1 0 0,0 0 0,0 0 0,1 0 0,-1 0 0,0 0 0,0 0 0,0 0 0,1 0 0,-1 0 0,0 0 0,1 0 0,-1-1 0,1 1 0,-1 0 0,1 0 0,0 0 0,-1 0 0,1-1 0,0 1 0,-1 0 0,1-1 0,0 1 0,0-1 0,0 1 0,0 0 0,1 0 0,53 28 0,-30-18 0,58 54 0,-74-59-1365,-1-2-5461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7:53.42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3623 1 24575,'-3595'0'-1365,"3567"0"-5461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8:15.95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24575,'0'480'0,"0"-478"0,0 0 0,0 0 0,0 0 0,0 0 0,-1 0 0,1 0 0,-1 0 0,1 0 0,-1 0 0,1 0 0,-1 0 0,0 0 0,0-1 0,0 1 0,0 0 0,0-1 0,-1 1 0,1 0 0,0-1 0,-1 0 0,1 1 0,-1-1 0,1 0 0,-1 0 0,0 0 0,1 0 0,-1 0 0,0 0 0,0 0 0,-3 1 0,-5 0 0,-1-1 0,1 0 0,0 0 0,0-1 0,-13-1 0,-35 3 0,25 3-112,-1-2 0,0-1 0,-34-2 0,39 0-805,15 0-5909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29:49.0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379 0 24575,'0'480'0,"0"-478"0,0 0 0,0 0 0,0 0 0,0 0 0,-1 0 0,1 0 0,-1 0 0,1 0 0,-1 0 0,1 0 0,-1 0 0,0 0 0,0-1 0,0 1 0,0 0 0,0-1 0,-1 1 0,1 0 0,0-1 0,-1 0 0,1 1 0,-1-1 0,1 0 0,-1 0 0,0 0 0,1 0 0,-1 0 0,0 0 0,0 0 0,-3 1 0,-5 0 0,-1-1 0,1 0 0,0 0 0,0-1 0,-13-1 0,-35 3 0,25 3-112,-1-2 0,0-1 0,-34-2 0,39 0-805,15 0-5909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29T00:30:45.6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3623 1 24575,'-3595'0'-1365,"3567"0"-5461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4:12.553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330 4433 24575,'-4'0'0,"1"-1"0,0 1 0,-1-1 0,1 1 0,0-1 0,-1 0 0,1 0 0,0-1 0,0 1 0,0-1 0,0 1 0,0-1 0,0 0 0,0 0 0,1-1 0,-1 1 0,1 0 0,-1-1 0,1 1 0,-4-7 0,-2-4 0,0-1 0,1 0 0,-8-23 0,-9-18 0,6 20 0,0-1 0,3 0 0,-15-52 0,-21-118 0,15 52 0,27 119 0,1 0 0,1 0 0,3-1 0,-2-53 0,8-642 0,-1 708 0,2 1 0,0-1 0,2 0 0,0 1 0,2 0 0,0 0 0,2 1 0,0 0 0,1 0 0,19-27 0,-5 12 0,1 0 0,2 2 0,2 1 0,52-47 0,40-29 0,204-234 0,-315 329 0,-1 0 0,0 0 0,-1 0 0,-1-1 0,0 0 0,-1-1 0,7-28 0,25-51 0,-1 5 0,-23 47 0,1 1 0,2 0 0,1 1 0,34-53 0,-4 25 0,-32 49 0,-1-1 0,-1-1 0,-1 0 0,-1 0 0,-1-1 0,10-31 0,-11 5 0,-3-1 0,-2 1 0,-2-1 0,-6-91 0,0 27 0,6-22 0,-6-147 0,3 282 0,0 0 0,0-1 0,0 1 0,0 0 0,-1 0 0,1 0 0,0-1 0,0 1 0,-1 0 0,1 0 0,-1 0 0,1 0 0,-1 0 0,1 0 0,-1-1 0,0 1 0,0 1 0,1-1 0,-3-2 0,2 3 0,1 0 0,-1 0 0,0 0 0,0 0 0,1 0 0,-1 0 0,0 0 0,0 0 0,1 0 0,-1 0 0,0 0 0,0 1 0,1-1 0,-1 0 0,0 1 0,0-1 0,1 0 0,-1 1 0,1-1 0,-1 1 0,0-1 0,1 1 0,-1 0 0,-39 49 0,26-32 0,-17 6 0,26-21 0,0 0 0,1 1 0,-1-1 0,1 1 0,0 0 0,0 0 0,-7 9 0,-59 105 0,70-118 0,0 0 0,0 0 0,0 1 0,0-1 0,0 0 0,0 0 0,0 1 0,0-1 0,0 0 0,0 0 0,0 1 0,0-1 0,-1 0 0,1 0 0,0 0 0,0 1 0,0-1 0,0 0 0,0 0 0,-1 0 0,1 0 0,0 1 0,0-1 0,0 0 0,-1 0 0,1 0 0,0 0 0,0 0 0,-1 0 0,1 0 0,0 0 0,0 1 0,0-1 0,-1 0 0,1 0 0,0 0 0,0 0 0,-1 0 0,1 0 0,0 0 0,0-1 0,-1 1 0,1 0 0,0 0 0,0 0 0,-1 0 0,1 0 0,0 0 0,0 0 0,0 0 0,-1-1 0,1 1 0,0 0 0,0 0 0,-5-19 0,5-27 0,2 37 0,-1 1 0,2-1 0,-1 1 0,1-1 0,0 1 0,1 0 0,0 0 0,0 0 0,9-11 0,1 0 0,2 0 0,22-21 0,-26 28 0,0 1 0,1 1 0,0 0 0,0 0 0,18-8 0,-28 16 0,1 0 0,0 0 0,0 0 0,0 1 0,0 0 0,1-1 0,-1 2 0,0-1 0,0 0 0,1 1 0,-1 0 0,0 0 0,1 0 0,-1 0 0,0 1 0,1 0 0,-1 0 0,0 0 0,0 0 0,0 1 0,0 0 0,0-1 0,0 1 0,5 4 0,30 20 0,-22-16 0,0 2 0,18 15 0,-31-23 0,0-1 0,-1 1 0,1 0 0,-1 0 0,0 0 0,0 0 0,0 0 0,-1 1 0,0-1 0,0 1 0,0 0 0,0 0 0,1 8 0,0-5 3,-1 0 0,1 0 0,1 0 0,0 0 0,0 0-1,0-1 1,1 0 0,0 0 0,0 0 0,1-1 0,-1 0 0,2 0-1,-1 0 1,14 9 0,28 30-1411,-40-35-5418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6:50.576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3074 6423 24575,'-1'-76'0,"-2"1"0,-5-1 0,-2 1 0,-5 1 0,-2 0 0,-3 1 0,-46-104 0,57 151 0,0 0 0,-6-37 0,-10-28 0,9 36 0,2-2 0,2-1 0,-6-91 0,16 119 0,1 6 0,-2-1 0,0 1 0,-1-1 0,-2 1 0,-10-26 0,-173-441 0,107 286 0,70 159 0,2-1 0,2-1 0,-3-56 0,6 44 0,-18-81 0,-8-14 0,-13-46 0,34 173 0,-1 1 0,-2 1 0,-1 0 0,-1 1 0,-25-33 0,-24-41 0,49 68 0,1-1 0,1 0 0,-13-57 0,26 88 0,-1-6 0,0-1 0,0 1 0,-1 0 0,0 0 0,0 0 0,-1 0 0,0 0 0,0 0 0,-2 1 0,1-1 0,0 1 0,0 0 0,-1 0 0,0 1 0,0-1 0,0 1 0,-1 0 0,-8-5 0,-56-38 0,3-3 0,2-3 0,-91-95 0,107 86 0,34 43 0,1 1 0,-32-32 0,-151-140 0,176 165 0,1-1 0,0-1 0,-30-59 0,36 59 0,-1 1 0,-2 0 0,-1 1 0,0 1 0,-25-25 0,-74-74 0,98 105 0,2-1 0,1 0 0,0-2 0,1 1 0,2-2 0,-21-46 0,15 5 0,16 52 0,0 0 0,0 0 0,-1 1 0,-1-1 0,0 1 0,-7-11 0,-3-2 0,1-2 0,0 0 0,2 0 0,1-1 0,-13-51 0,19 57 0,0-1 0,-1 1 0,-1 0 0,-13-26 0,12 29 0,2 1 0,0 0 0,2-1 0,0 1 0,1-1 0,1 0 0,-1-20 0,2 28 0,-1 0 0,-1 0 0,0 0 0,0 1 0,-1-1 0,-9-14 0,-12-38 0,17 25 0,-4-54 0,3 37 0,0-20 0,9 67 0,-1 0 0,1 1 0,-1-1 0,-1 0 0,1 1 0,-1-1 0,0 1 0,0-1 0,-1 1 0,0 0 0,0 0 0,-1 0 0,1 0 0,-2 1 0,0-1 0,1 1 0,-1 0 0,0 0 0,-9-7 0,3 5 0,-2-1 0,1 2 0,0 0 0,-1 0 0,-1 1 0,1 0 0,0 1 0,-25-3 0,-7-5-1365,32 8-5461</inkml:trace>
  <inkml:trace contextRef="#ctx0" brushRef="#br0" timeOffset="2651.6">3 380 24575,'-1'-44'0,"0"18"0,1 0 0,5-43 0,-3 61 0,-1 1 0,1 0 0,0 0 0,0 0 0,1 0 0,0 0 0,0 1 0,2-1 0,-2 1 0,2 0 0,-1 0 0,1 0 0,-1 1 0,8-6 0,112-101 0,-124 113 0,1-1 0,-1 0 0,1 1 0,-1-1 0,1 1 0,-1 0 0,1-1 0,-1 1 0,0-1 0,1 1 0,-1 0 0,0-1 0,1 1 0,-1 0 0,0-1 0,0 1 0,0 0 0,0-1 0,1 1 0,-1 0 0,0-1 0,0 1 0,0 0 0,-1-1 0,1 1 0,0 0 0,0-1 0,-1 2 0,2 26 0,0 130 0,-5 73 0,4-230 0,0 1 0,-1 0 0,1 0 0,-1 0 0,1-1 0,-1 1 0,0 0 0,1-1 0,-1 1 0,-1-1 0,1 1 0,0 0 0,-1-1 0,1 0 0,0 1 0,0-1 0,-1 0 0,1 0 0,-1 0 0,1 0 0,-1 0 0,1 0 0,-1 0 0,0 0 0,1-1 0,-1 1 0,0 0 0,0-1 0,-3 1 0,-4 0 0,0 0 0,-2-1 0,2 0 0,-14-2 0,21 2 0,179-2-1365,-161 2-5461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9:40.249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173 6266 24575,'1'-2'0,"-1"0"0,1 0 0,0 0 0,0 0 0,0-1 0,0 1 0,0 1 0,1-1 0,-1 0 0,0 0 0,1 0 0,0 1 0,3-4 0,29-22 0,-26 21 0,32-25 0,136-95 0,-152 108 0,-1-1 0,27-27 0,9-6 0,-52 44 0,0 0 0,0 0 0,-1 0 0,0-1 0,-1 0 0,0 0 0,0 0 0,-1 0 0,-1-1 0,0 1 0,0-1 0,2-17 0,-1 8 0,2 1 0,9-25 0,4-1 0,-3 0 0,-2-2 0,11-71 0,12-206 0,-33 282 0,4-20 0,2-31 0,-9 76 0,1 0 0,1 0 0,1 0 0,0 0 0,9-21 0,-6 20 0,-1-1 0,-1 0 0,5-34 0,9-73 0,-2 28 0,-10 47 0,-2 19 0,1-45 0,-5 59 0,1-1 0,1 1 0,9-32 0,-6 31 0,-2 0 0,0 0 0,1-26 0,-7-42 0,3-48 0,8 77 0,1-28 0,-9-1065 0,-2 531 0,-9 499 0,0-2 0,10 70 0,-13-78 0,6 70 0,6 42 0,-1-1 0,-1 1 0,0 0 0,-10-25 0,3 11 0,1 0 0,1-1 0,-3-54 0,7 48 0,-2 0 0,-13-41 0,14 59 0,0 0 0,2 0 0,-1-32 0,2 19 0,0 23 0,-1 0 0,0 0 0,-1 0 0,0 0 0,0 0 0,-11-15 0,-11-32 0,19 43 0,1 0 0,-2 0 0,-12-18 0,-12-22 0,-35-62 0,45 56 0,16 42 0,0 1 0,-1 0 0,-2 0 0,1 0 0,-2 1 0,-1 0 0,-15-18 0,-14-15 0,35 41 0,-1 1 0,0-1 0,-1 1 0,0 0 0,-1 1 0,1 0 0,-2 0 0,1 0 0,-1 1 0,0 0 0,-18-8 0,-15-3 0,13 5 0,0 1 0,-45-10 0,43 13 0,-1-1 0,1-2 0,-32-14 0,13 6-1365,39 12-5461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26:08.055"/>
    </inkml:context>
    <inkml:brush xml:id="br0">
      <inkml:brushProperty name="width" value="0.05" units="cm"/>
      <inkml:brushProperty name="height" value="0.05" units="cm"/>
      <inkml:brushProperty name="color" value="#00A0D7"/>
    </inkml:brush>
  </inkml:definitions>
  <inkml:trace contextRef="#ctx0" brushRef="#br0">0 1 24575,'3'0'0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2-05T18:09:29.825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4E95D9"/>
    </inkml:brush>
    <inkml:brush xml:id="br2">
      <inkml:brushProperty name="width" value="0.05" units="cm"/>
      <inkml:brushProperty name="height" value="0.05" units="cm"/>
      <inkml:brushProperty name="color" value="#D0089C"/>
    </inkml:brush>
  </inkml:definitions>
  <inkml:trace contextRef="#ctx0" brushRef="#br0">5108 9980 24575,'-19'-95'0,"13"-57"0,-35-342 0,31 324 0,11 130 0,-3-1 0,-1 1 0,-3 0 0,-14-41 0,-61-203 0,73 260 0,-2 0 0,-1 0 0,-28-42 0,2 2 0,-81-141 0,73 133 0,-7-1 0,-4-7 0,28 27 0,1 3 0,-1 1 0,-4 2 0,-48-56 0,69 88 0,0 0 0,1 0 0,0-1 0,2-1 0,1 1 0,1-1 0,0 0 0,-3-33 0,-2 4 0,-37-113 0,46 153 0,0 1 0,-1-1 0,0 0 0,-1 1 0,0-1 0,0 1 0,-1 0 0,0 0 0,0 0 0,-7-5 0,-66-45 0,29 23 0,-34-34 0,57 43 0,-1 2 0,-2 0 0,0 1 0,-52-26 0,68 38 0,-1 0 0,1-1 0,1 0 0,1 0 0,-1 0 0,1-1 0,-16-21 0,18 19 0,-1 1 0,-2 0 0,1 0 0,-1 1 0,0 0 0,-1 1 0,-16-9 0,-11-4 0,2-2 0,-48-36 0,76 53 0,-138-81 0,45 7 0,-37-27 0,132 102 0,0-1 0,1 0 0,0 0 0,1-1 0,0 0 0,0 0 0,-5-9 0,5 7 0,0-1 0,-2 2 0,1-1 0,-10-8 0,-87-60 0,48 37 0,-93-67 0,116 84 0,3-1 0,-38-42 0,68 66 0,-11-8 0,2 0 0,1-1 0,-1 0 0,1 0 0,1-1 0,1 1 0,-9-20 0,15 30 0,-2-8 0,0-1 0,-1 1 0,0 0 0,0 1 0,-2-1 0,1 0 0,-1 1 0,0 0 0,-1 0 0,0 0 0,-14-11 0,-4-1 0,-31-32 0,36 31 0,-48-35 0,-9 12 0,34 21 0,42 22 0,0 0 0,-1 0 0,1 0 0,0-1 0,0 1 0,-1 0 0,1 0 0,0 0 0,-1 0 0,1 0 0,0-1 0,-1 1 0,1 0 0,0 0 0,-1 0 0,1 0 0,-1 0 0,1 0 0,0 0 0,-1 0 0,1 0 0,0 0 0,-1 0 0,1 0 0,0 0 0,-1 0 0,1 0 0,0 1 0,-1-1 0,1 0 0,0 0 0,-1 0 0,1 0 0,0 0 0,-1 1 0,-4 11 0,5 22 0,0-28 0,2 121 0,0-206 0,-4-124 0,1 200 0,0-1 0,1 1 0,-1-1 0,-1 1 0,1 0 0,-1-1 0,0 1 0,1 0 0,-3 0 0,2 0 0,0 0 0,-1 0 0,0 0 0,0 0 0,0 1 0,0-1 0,-5-2 0,-4-1 0,-1 0 0,0 0 0,-26-8 0,21 7 0,45 36 0,4-10 0,43 17 0,-49-25 0,-1 1 0,0 1 0,42 30 0,-18-4 0,46 37 0,-77-66 0,2-1 0,-1 0 0,0 0 0,2-2 0,21 7 0,12 5 0,-30-12-1365</inkml:trace>
  <inkml:trace contextRef="#ctx0" brushRef="#br1" timeOffset="114329.54">564 38 24575,'-72'-2'0,"40"0"0,1 1 0,-1 2 0,-44 6 0,47 2 0,0 0 0,1 2 0,-46 25 0,48-24 0,21-9 0,0 0 0,0 0 0,0 1 0,0-1 0,0 1 0,1 0 0,0 0 0,-1 0 0,1 1 0,0 0 0,1 0 0,0 0 0,0 0 0,0 0 0,1 0 0,-1 1 0,1-1 0,1 1 0,-3 10 0,2-1 0,1 0 0,0 0 0,1-1 0,0 1 0,2 0 0,5 27 0,-6-36 0,0-1 0,1 0 0,0 0 0,0-1 0,0 1 0,1 0 0,-1-1 0,1 1 0,0-1 0,0 0 0,1 0 0,0 0 0,0 0 0,0-1 0,6 4 0,-1-1 0,0-1 0,0 0 0,0 0 0,2-1 0,-1-1 0,0 1 0,11 1 0,15 1 0,-2-1 0,2-2 0,54-1 0,-33-2 0,-19 1 0,47-5 0,-73 2 0,0 0 0,0 0 0,-1-1 0,0-1 0,0 0 0,0 0 0,1 0 0,10-8 0,-18 10 0,0 0 0,0-1 0,0 0 0,0 1 0,-1-1 0,1-1 0,-1 1 0,1 0 0,-1-1 0,0 1 0,0-1 0,-1 0 0,1 0 0,-1 0 0,0-1 0,0 1 0,-1 0 0,1-1 0,-1 1 0,0-1 0,0 1 0,-1-1 0,1 0 0,-1 1 0,0-1 0,-1-5 0,2-42 0,-5-150 0,4 199 5,-1 0-1,0 0 1,0 0 0,0 0-1,0 0 1,-1 0-1,1 0 1,-1 0 0,0 1-1,0-1 1,0 0 0,0 1-1,0 0 1,-1-1-1,1 1 1,-2 0 0,2 0-1,-1 1 1,0-1-1,1 0 1,-1 1 0,0 0-1,0 0 1,0 0-1,-4-1 1,-6-2-302,0 1 0,-2 0 0,2 1 0,-22 0 0,18 1-6529</inkml:trace>
  <inkml:trace contextRef="#ctx0" brushRef="#br1" timeOffset="116884.4">584 312 24575,'0'5'0,"-1"26"0,2-1 0,6 31 0,-5-50 0,1 1 0,1-1 0,0 0 0,0 1 0,1-2 0,0 1 0,1 0 0,9 13 0,50 60 0,-37-51 0,-3 1 0,-1 2 0,27 51 0,-22-32 0,18 45 0,-29-49 0,-8-19 0,2-1 0,1 1 0,22 35 0,-27-52 0,0 0 0,-1 1 0,-1 0 0,1 0 0,-2 0 0,0 0 0,-2 1 0,0 0 0,-1-1 0,0 19 0,-1-24 0,0 0 0,1 0 0,0 0 0,0 0 0,2 0 0,7 19 0,-8-25 0,0 1 0,0-1 0,1 0 0,-1 0 0,1 0 0,0-1 0,2 1 0,-2-1 0,1 0 0,0-1 0,0 1 0,0-1 0,10 5 0,-12-6 0,0 0 0,-1 1 0,1-1 0,0 0 0,-1 1 0,1-1 0,0 1 0,-1 0 0,0 0 0,0 0 0,0 0 0,-1 0 0,1 0 0,-1 1 0,0-1 0,1 1 0,-2-1 0,1 0 0,0 1 0,-1 0 0,1 4 0,0 14 0,-1-1 0,-3 33 0,1-17 0,1-4 0,-1 26 0,2-1 0,3 1 0,18 99 0,5 23 0,-19-124 0,19 86 0,-7-84 0,3-1 0,37 72 0,-6-14 0,-24-48 0,2 9 0,60 100 0,-43-90 0,-32-54 0,2-2 0,0 0 0,34 40 0,-10-20 0,-26-30 0,0-1 0,2-1 0,27 26 0,2-6 0,-8-7 0,59 39 0,-16-15 0,95 85 0,-153-122 0,-3 1 0,-1 1 0,1 1 0,-1 1 0,-3-1 0,19 31 0,-26-37 0,1 0 0,2-2 0,0 1 0,0-1 0,27 21 0,35 36 0,-48-42 0,3-1 0,-1-1 0,46 30 0,-13-10 0,-16-15 36,23 22-1437,-60-44-5425</inkml:trace>
  <inkml:trace contextRef="#ctx0" brushRef="#br1" timeOffset="124497.28">509 1588 24575,'-1'-1'0,"1"0"0,-1-1 0,1 1 0,-1 0 0,0 0 0,1 0 0,-1 0 0,0 0 0,0 0 0,0 0 0,0 0 0,0 0 0,0 0 0,0 0 0,0 0 0,0 1 0,0-1 0,0 1 0,0-1 0,-3 0 0,-34-13 0,26 9 0,-7 0 0,-2 0 0,2 1 0,-1 1 0,-2 1 0,2 1 0,0 1 0,0 0 0,-28 5 0,32-2 0,1 0 0,0 1 0,1 1 0,-2 0 0,2 1 0,0 1 0,-1 0 0,2 1 0,-1 0 0,2 1 0,0 1 0,-14 12 0,21-17 0,2 1 0,-1-1 0,1 1 0,0-1 0,0 1 0,1 0 0,0 0 0,0 0 0,0 1 0,1-1 0,0 0 0,0 0 0,0 11 0,1 10 0,6 48 0,-6-75 0,0 4 0,1-1 0,0 1 0,0 0 0,0-1 0,1 1 0,-1-1 0,1 1 0,0-1 0,0 1 0,0-1 0,0 0 0,0 0 0,1 0 0,1-1 0,-2 1 0,1-1 0,0 1 0,0-1 0,0 0 0,1 0 0,3 2 0,10 3 0,-1 0 0,2-1 0,26 6 0,-28-9 0,-1 1 0,-1 1 0,16 7 0,-12-4 0,0-1 0,1-1 0,1 0 0,-1-1 0,0-1 0,3-1 0,-2 0 0,-1-2 0,2 0 0,-1-2 0,29-3 0,-38 2 0,0-1 0,0-1 0,1 0 0,-1 0 0,-1-1 0,1 0 0,10-8 0,29-12 0,-46 23 0,1 1 0,-1-1 0,0-1 0,0 1 0,1 0 0,-1-1 0,0 0 0,0 0 0,-1 0 0,1 0 0,-1-1 0,0 1 0,0-1 0,0 0 0,-1 0 0,1 0 0,2-7 0,-2 1 0,-1-1 0,0 1 0,0-1 0,-2 0 0,1 0 0,-2-17 0,1-58 0,-2-48 0,1 131 3,0-1 0,0 1 0,0-1 0,0 1 0,0 0 0,-1 0 0,0 0 1,1 0-1,-1 0 0,0 0 0,-1 0 0,1 0 0,0 1 0,-1-1 0,1 1 0,-1 0 0,0 0 0,0 0 0,0 0 0,0 0 0,0 0 0,0 1 0,-2 0 0,2 0 0,0-1 0,-1 2 0,1-1 0,-7 0 0,-13-3-187,0 2 0,-1 1 0,-31 2 0,32-1-533,7 1-6109</inkml:trace>
  <inkml:trace contextRef="#ctx0" brushRef="#br1" timeOffset="126783.93">118 1898 24575,'-1'1'0,"-1"-1"0,0 1 0,0 0 0,1-1 0,0 1 0,-1 0 0,1 0 0,0 0 0,0 0 0,-1 0 0,1 0 0,0 0 0,0 0 0,0 1 0,0-1 0,1 0 0,-1 1 0,0-1 0,-1 0 0,2 1 0,-1-1 0,1 1 0,-1-1 0,1 3 0,-10 37 0,-5 132 0,11-141 0,2 0 0,1 32 0,2-34 0,-2 0 0,-7 50 0,1-30 0,3 0 0,1 1 0,7 62 0,-2-8 0,-4 0 0,5 115 0,2-192 0,1-2 0,1 2 0,2-2 0,18 38 0,-23-54 0,7 15 0,2 0 0,-1-1 0,2-1 0,2 0 0,0-1 0,19 21 0,33 42 0,-46-54 0,1-2 0,43 39 0,-34-35 0,-25-24 0,0-1 0,0-1 0,18 14 0,56 45 0,-56-45 0,0-1 0,27 18 0,-26-20 0,-2 1 0,1 1 0,36 40 0,-33-33 0,50 43 0,117 67 0,-21-6 0,-62-48-20,126 85-1325,-227-161-5481</inkml:trace>
  <inkml:trace contextRef="#ctx0" brushRef="#br1" timeOffset="129708.24">1645 4434 24575,'-15'-8'0,"3"2"0,11 6 0,1 1 0,-1-1 0,1 1 0,-1-1 0,0 1 0,1-1 0,-1 1 0,1-1 0,0 1 0,-1-1 0,1 1 0,-1-1 0,1 1 0,0 0 0,0-1 0,-1 1 0,1 0 0,0-1 0,0 1 0,0 0 0,0 0 0,0-1 0,0 1 0,0 1 0,-2 15 0,-1 0 0,5 32 0,-1-35 0,-1 0 0,0 0 0,-1 0 0,-1-1 0,-4 18 0,5-27 0,0 1 0,-1-1 0,0 0 0,0-1 0,0 1 0,0 0 0,-1-1 0,1 1 0,-1-1 0,0 0 0,0 1 0,0-1 0,-1-1 0,1 1 0,-1 0 0,1-1 0,-1 0 0,0 0 0,-1 0 0,1 0 0,-5 1 0,5-2-66,-13 5-259,0 0 0,-2 2 1,-15 9-1,25-10-6501</inkml:trace>
  <inkml:trace contextRef="#ctx0" brushRef="#br2" timeOffset="-104476.92">7306 8138 24575,'-13'0'0,"0"-1"0,-1 0 0,1-1 0,0 0 0,0-1 0,1-1 0,-2 0 0,1 0 0,1-2 0,1 1 0,-1-1 0,0-1 0,1 0 0,0-1 0,1 0 0,0 0 0,1-1 0,-1 0 0,-13-18 0,-83-89 0,92 99 0,-1 1 0,-1 1 0,-22-17 0,-21-20 0,50 43 0,-1 1 0,0 0 0,-1 0 0,-14-6 0,-30-21 0,22 7 0,-3 2 0,0 1 0,-62-30 0,69 37 0,-1-1 0,3-2 0,-1-1 0,-42-44 0,-22-18 0,81 76 0,1 0 0,-1-1 0,1-1 0,1 0 0,0 0 0,0-1 0,1 0 0,1 0 0,-1-1 0,1 0 0,1 1 0,1-2 0,0 1 0,1-1 0,0 0 0,1-1 0,0 1 0,-1-23 0,4-16 0,1 37 0,-1-1 0,0 1 0,-1 0 0,-4-16 0,4 26 0,0 1 0,-1-1 0,1 1 0,-1 0 0,0 0 0,-2 0 0,2 0 0,0 0 0,-1 0 0,-1 1 0,1-1 0,0 1 0,0 0 0,-1 0 0,1 0 0,-1 0 0,-8-4 0,-21-8 0,0 2 0,-2 1 0,1 2 0,-51-9 0,-8-3 0,60 14 0,22 6 0,1-1 0,0 0 0,0 0 0,0-1 0,-14-6 0,-50-20 0,58 25 0,1-1 0,-2-1 0,-16-9 0,-22-16 0,32 20 0,1-1 0,0-1 0,2 0 0,-33-31 0,31 26 0,0 2 0,0 0 0,-40-21 0,-16-13 0,-118-88 0,-48-61 0,227 187 0,1 1 0,-2 0 0,-33-17 0,33 20 0,0-1 0,-1 0 0,3-2 0,-23-19 0,9 2 0,5 3 0,-1 2 0,-1 0 0,-52-32 0,-19-11 0,-25-12 0,90 60 0,3-2 0,-41-35 0,7 5 0,41 34 0,3-1 0,0 0 0,-18-22 0,-76-71 0,-4-6 0,109 105 0,1 0 0,1-1 0,0 0 0,1 0 0,1 0 0,0-1 0,1 0 0,0 0 0,-3-25 0,-7-18 0,11 49 0,0 0 0,-1 1 0,0-1 0,0 0 0,-1 1 0,0 0 0,0 0 0,-1 1 0,0-1 0,-14-10 0,-7-5 0,-39-23 0,66 45 0,-42-27 0,1-1 0,1-3 0,1-1 0,-50-55 0,60 44-1365,19 29-5461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Nguyen Duc Tien" id="{9240700F-9BEE-4704-BF54-E665054FE8DC}" userId="S::tien.nguyenduc@hust.edu.vn::1d425f06-52f5-490b-9f00-5a0d395ba4e9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A lightbulb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E080C7-0F88-47A3-B24D-7998CE27F38C}" name="TableRegisters" displayName="TableRegisters" ref="A1:B33" totalsRowShown="0">
  <autoFilter ref="A1:B33" xr:uid="{E2E080C7-0F88-47A3-B24D-7998CE27F38C}"/>
  <tableColumns count="2">
    <tableColumn id="1" xr3:uid="{FC65DE35-4218-40D3-8981-82F8CF853F1D}" name="Register Name"/>
    <tableColumn id="2" xr3:uid="{AB85BCBA-D32C-4C63-9004-6587CB3D0372}" name="Index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9C62A4-FE71-4EA3-B630-2484B7C7E89D}" name="TableOpcodes" displayName="TableOpcodes" ref="D2:M51" totalsRowShown="0">
  <autoFilter ref="D2:M51" xr:uid="{A19C62A4-FE71-4EA3-B630-2484B7C7E89D}">
    <filterColumn colId="1">
      <filters>
        <filter val="I"/>
      </filters>
    </filterColumn>
  </autoFilter>
  <tableColumns count="10">
    <tableColumn id="1" xr3:uid="{97CBC304-A7CC-4055-B86D-7B61FD4E8E8C}" name="MNEMONIC"/>
    <tableColumn id="2" xr3:uid="{0AF6B6D9-676C-4AA9-9307-DCE9E86977B8}" name="FMT" dataDxfId="51"/>
    <tableColumn id="3" xr3:uid="{0246835D-795C-4501-8D00-02CBC9D67E42}" name="OPCODE" dataDxfId="50"/>
    <tableColumn id="4" xr3:uid="{F42F2333-6D9A-4152-B332-8C19208717EB}" name="FUNCT3" dataDxfId="49"/>
    <tableColumn id="5" xr3:uid="{660778F0-EE04-4B1A-8D3B-042D03F53E96}" name="FUNCT7 or IMM" dataDxfId="48"/>
    <tableColumn id="7" xr3:uid="{C9E476AD-E5A6-4F59-A78B-48A362BE8077}" name="OPCODE  (10)" dataDxfId="47">
      <calculatedColumnFormula>BIN2DEC(TableOpcodes[[#This Row],[OPCODE]])</calculatedColumnFormula>
    </tableColumn>
    <tableColumn id="9" xr3:uid="{FED3B89A-6FF2-442E-8693-AA3EE7B1E49C}" name="FUNCT7 (10)" dataDxfId="46">
      <calculatedColumnFormula>IF(TableOpcodes[[#This Row],[FUNCT7 or IMM]]="–",,BIN2DEC(TableOpcodes[[#This Row],[FUNCT7 or IMM]]))</calculatedColumnFormula>
    </tableColumn>
    <tableColumn id="8" xr3:uid="{30E7EC8D-F50F-4239-8FB4-28383855E4A9}" name="FUNCT3 (10)" dataDxfId="45">
      <calculatedColumnFormula>IF(TableOpcodes[[#This Row],[FUNCT3]]="–",,BIN2DEC(TableOpcodes[[#This Row],[FUNCT3]]))</calculatedColumnFormula>
    </tableColumn>
    <tableColumn id="10" xr3:uid="{5A8146E8-A95F-499E-A09C-3DC864787EF7}" name="Description"/>
    <tableColumn id="11" xr3:uid="{87F579F6-EB0C-408A-BE79-0E127FFBD39E}" name="Operatio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0" dT="2024-10-05T02:26:27.08" personId="{9240700F-9BEE-4704-BF54-E665054FE8DC}" id="{9198ECBD-678F-432C-92F8-9718C205B842}">
    <text>Nội dung thanh ghi PC ở lệnh hiện tại. 
Viết ở hệ 16</text>
  </threadedComment>
  <threadedComment ref="AM30" dT="2024-10-05T02:28:28.66" personId="{9240700F-9BEE-4704-BF54-E665054FE8DC}" id="{69C14207-E377-4261-B3FB-8D20B1D52083}">
    <text>Nội dung thanh ghi PC ở lệnh hiện tại.
Viết ở hệ 2</text>
  </threadedComment>
  <threadedComment ref="C31" dT="2024-10-05T02:26:01.22" personId="{9240700F-9BEE-4704-BF54-E665054FE8DC}" id="{0937F6A1-B596-46C2-B233-918904433524}">
    <text>Nội dung thanh ghi PC ở lệnh hiện tại. 
Viết ở hệ 10</text>
  </threadedComment>
  <threadedComment ref="D32" dT="2024-10-05T02:50:19.73" personId="{9240700F-9BEE-4704-BF54-E665054FE8DC}" id="{36832EF2-528E-47A8-8180-3A5791D5C35A}">
    <text>Khoảng cách, tính theo số byte, giữa đĩa chỉ của lệnh nơi nhảy tới, và địa chỉ lệnh hiện tại.</text>
  </threadedComment>
  <threadedComment ref="C33" dT="2024-10-05T02:27:38.44" personId="{9240700F-9BEE-4704-BF54-E665054FE8DC}" id="{EE7F0B5C-798E-4B8B-81A7-9396751C7BD4}">
    <text>Nội dung thanh ghi PC chứa địa chỉ nơi nhảy đến. 
Viết ở hệ 10</text>
  </threadedComment>
  <threadedComment ref="C34" dT="2024-10-05T02:27:18.86" personId="{9240700F-9BEE-4704-BF54-E665054FE8DC}" id="{AEB1F313-58E6-44DA-A422-7CCD6DAD3893}">
    <text>Nội dung thanh ghi PC chứa địa chỉ nơi nhảy đến. 
Viết ở hệ 16</text>
  </threadedComment>
  <threadedComment ref="AM34" dT="2024-10-05T02:28:46.70" personId="{9240700F-9BEE-4704-BF54-E665054FE8DC}" id="{107DCB09-9769-44D1-BD60-6C184BFE2955}">
    <text xml:space="preserve">Nội dung thanh ghi PC nơ nhảy đến
Viết ở hệ 2
</text>
  </threadedComment>
  <threadedComment ref="C47" dT="2024-10-05T02:26:27.08" personId="{9240700F-9BEE-4704-BF54-E665054FE8DC}" id="{73854207-23F7-41BA-8534-B4384FB666DB}">
    <text>Nội dung thanh ghi PC ở lệnh hiện tại. 
Viết ở hệ 16</text>
  </threadedComment>
  <threadedComment ref="AM47" dT="2024-10-05T02:28:28.66" personId="{9240700F-9BEE-4704-BF54-E665054FE8DC}" id="{B9C9A698-470D-4E2E-B1CE-8F40F91BAC54}">
    <text xml:space="preserve">Nội dung thanh ghi PC ở lệnh hiện tại. 
Viết ở hệ 2
</text>
  </threadedComment>
  <threadedComment ref="C48" dT="2024-10-05T02:26:01.22" personId="{9240700F-9BEE-4704-BF54-E665054FE8DC}" id="{F0E8C72D-DFED-403B-A5C6-9E9E8DFA418E}">
    <text xml:space="preserve">Nội dung thanh ghi PC ở lệnh hiện tại. 
Viết ở hệ 10
</text>
  </threadedComment>
  <threadedComment ref="D49" dT="2024-10-05T02:50:19.73" personId="{9240700F-9BEE-4704-BF54-E665054FE8DC}" id="{7B301A01-1225-457E-AAB3-F03D2845D6B4}">
    <text>Khoảng cách, tính theo số byte, giữa đĩa chỉ của lệnh nơi nhảy tới, và địa chỉ lệnh hiện tại.</text>
  </threadedComment>
  <threadedComment ref="C50" dT="2024-10-05T02:27:38.44" personId="{9240700F-9BEE-4704-BF54-E665054FE8DC}" id="{47EE75B6-E12A-44AB-9946-737C2CD55ECD}">
    <text>Nội dung thanh ghi PC, nếu rẽ nhánh, sẽ chứa địa chỉ nơi nhảy đến
Viết ở hệ 10</text>
  </threadedComment>
  <threadedComment ref="C51" dT="2024-10-05T02:27:18.86" personId="{9240700F-9BEE-4704-BF54-E665054FE8DC}" id="{BCD939F0-123F-4DEE-9D31-CD0744948F3B}">
    <text xml:space="preserve">Nội dung thanh ghi PC, nếu rẽ nhánh, sẽ chứa địa chỉ nơi nhảy đến
Viết ở hệ 16
</text>
  </threadedComment>
  <threadedComment ref="AM51" dT="2024-10-05T02:28:46.70" personId="{9240700F-9BEE-4704-BF54-E665054FE8DC}" id="{AED09461-1538-4A9F-A073-D1F6644BCD0A}">
    <text xml:space="preserve">Nội dung thanh ghi PC, nếu rẽ nhánh, sẽ chứa địa chỉ nơi nhảy đến
Viết ở hệ 2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5752-217A-485B-8823-5D8F8B5FC1F0}">
  <sheetPr codeName="Sheet4"/>
  <dimension ref="A1:U70"/>
  <sheetViews>
    <sheetView zoomScale="190" zoomScaleNormal="190" workbookViewId="0">
      <selection activeCell="C6" sqref="C6"/>
    </sheetView>
  </sheetViews>
  <sheetFormatPr defaultRowHeight="15" x14ac:dyDescent="0.25"/>
  <cols>
    <col min="1" max="2" width="11" customWidth="1"/>
    <col min="4" max="4" width="13.28515625" customWidth="1"/>
    <col min="5" max="5" width="6.85546875" bestFit="1" customWidth="1"/>
    <col min="6" max="6" width="10.5703125" customWidth="1"/>
    <col min="7" max="7" width="12.7109375" style="24" bestFit="1" customWidth="1"/>
    <col min="8" max="8" width="16.42578125" customWidth="1"/>
    <col min="9" max="9" width="7.7109375" style="3" customWidth="1"/>
    <col min="11" max="11" width="8.7109375" customWidth="1"/>
    <col min="12" max="12" width="14.28515625" bestFit="1" customWidth="1"/>
    <col min="13" max="13" width="24.28515625" bestFit="1" customWidth="1"/>
    <col min="14" max="14" width="11.42578125" bestFit="1" customWidth="1"/>
    <col min="18" max="18" width="10.28515625" bestFit="1" customWidth="1"/>
  </cols>
  <sheetData>
    <row r="1" spans="1:21" x14ac:dyDescent="0.25">
      <c r="A1" t="s">
        <v>0</v>
      </c>
      <c r="B1" t="s">
        <v>1</v>
      </c>
      <c r="D1">
        <v>1</v>
      </c>
      <c r="E1">
        <v>2</v>
      </c>
      <c r="F1">
        <v>3</v>
      </c>
      <c r="G1" s="24">
        <v>4</v>
      </c>
      <c r="H1">
        <v>5</v>
      </c>
      <c r="I1" s="3">
        <v>6</v>
      </c>
      <c r="J1">
        <v>7</v>
      </c>
      <c r="K1">
        <v>8</v>
      </c>
      <c r="O1" s="49" t="s">
        <v>2</v>
      </c>
      <c r="P1" s="48" t="s">
        <v>365</v>
      </c>
      <c r="Q1" t="s">
        <v>333</v>
      </c>
      <c r="R1" s="54" t="s">
        <v>3</v>
      </c>
      <c r="S1" s="55" t="s">
        <v>4</v>
      </c>
      <c r="T1" s="56" t="s">
        <v>5</v>
      </c>
      <c r="U1" s="56" t="s">
        <v>6</v>
      </c>
    </row>
    <row r="2" spans="1:21" x14ac:dyDescent="0.25">
      <c r="A2" t="s">
        <v>7</v>
      </c>
      <c r="B2">
        <v>0</v>
      </c>
      <c r="D2" t="s">
        <v>8</v>
      </c>
      <c r="E2" t="s">
        <v>9</v>
      </c>
      <c r="F2" t="s">
        <v>10</v>
      </c>
      <c r="G2" s="24" t="s">
        <v>11</v>
      </c>
      <c r="H2" t="s">
        <v>12</v>
      </c>
      <c r="I2" s="26" t="s">
        <v>13</v>
      </c>
      <c r="J2" s="134" t="s">
        <v>14</v>
      </c>
      <c r="K2" s="134" t="s">
        <v>15</v>
      </c>
      <c r="L2" t="s">
        <v>16</v>
      </c>
      <c r="M2" t="s">
        <v>17</v>
      </c>
      <c r="O2" s="49" t="s">
        <v>18</v>
      </c>
      <c r="P2" s="47" t="s">
        <v>19</v>
      </c>
      <c r="Q2" s="47" t="s">
        <v>20</v>
      </c>
      <c r="R2" s="47" t="s">
        <v>21</v>
      </c>
      <c r="S2" s="47" t="s">
        <v>22</v>
      </c>
      <c r="T2" s="57" t="s">
        <v>23</v>
      </c>
      <c r="U2" s="57" t="s">
        <v>24</v>
      </c>
    </row>
    <row r="3" spans="1:21" x14ac:dyDescent="0.25">
      <c r="A3" t="s">
        <v>25</v>
      </c>
      <c r="B3">
        <v>1</v>
      </c>
      <c r="D3" t="s">
        <v>26</v>
      </c>
      <c r="E3" s="3" t="s">
        <v>27</v>
      </c>
      <c r="F3" s="3" t="s">
        <v>28</v>
      </c>
      <c r="G3" s="24" t="s">
        <v>29</v>
      </c>
      <c r="H3" s="3" t="s">
        <v>30</v>
      </c>
      <c r="I3" s="25">
        <f>BIN2DEC(TableOpcodes[[#This Row],[OPCODE]])</f>
        <v>3</v>
      </c>
      <c r="J3" s="25">
        <f>IF(TableOpcodes[[#This Row],[FUNCT7 or IMM]]="–",,BIN2DEC(TableOpcodes[[#This Row],[FUNCT7 or IMM]]))</f>
        <v>0</v>
      </c>
      <c r="K3" s="25">
        <f>IF(TableOpcodes[[#This Row],[FUNCT3]]="–",,BIN2DEC(TableOpcodes[[#This Row],[FUNCT3]]))</f>
        <v>0</v>
      </c>
      <c r="L3" s="27" t="s">
        <v>31</v>
      </c>
      <c r="M3" s="29" t="s">
        <v>32</v>
      </c>
      <c r="N3" s="25"/>
      <c r="O3" s="49" t="s">
        <v>33</v>
      </c>
      <c r="P3" s="27" t="str" cm="1">
        <f t="array" ref="P3:P12">_xlfn._xlws.FILTER(TableOpcodes[MNEMONIC],TableOpcodes[FMT]="R")</f>
        <v>add</v>
      </c>
      <c r="Q3" s="27" t="str" cm="1">
        <f t="array" ref="Q3:Q17">_xlfn._xlws.FILTER(TableOpcodes[MNEMONIC],TableOpcodes[FMT]="I")</f>
        <v>lb</v>
      </c>
      <c r="R3" t="str" cm="1">
        <f t="array" ref="R3:R5">_xlfn._xlws.FILTER(TableOpcodes[MNEMONIC],TableOpcodes[FMT]="S")</f>
        <v>sb</v>
      </c>
      <c r="S3" t="str" cm="1">
        <f t="array" ref="S3:S4">_xlfn._xlws.FILTER(TableOpcodes[MNEMONIC],TableOpcodes[FMT]="U")</f>
        <v>auipc</v>
      </c>
      <c r="T3" t="str" cm="1">
        <f t="array" ref="T3:T8">_xlfn._xlws.FILTER(TableOpcodes[MNEMONIC],TableOpcodes[FMT]="B")</f>
        <v>beq</v>
      </c>
      <c r="U3" t="str" cm="1">
        <f t="array" ref="U3">_xlfn._xlws.FILTER(TableOpcodes[MNEMONIC],TableOpcodes[FMT]="J")</f>
        <v>jal</v>
      </c>
    </row>
    <row r="4" spans="1:21" x14ac:dyDescent="0.25">
      <c r="A4" t="s">
        <v>34</v>
      </c>
      <c r="B4">
        <v>2</v>
      </c>
      <c r="D4" t="s">
        <v>35</v>
      </c>
      <c r="E4" s="3" t="s">
        <v>27</v>
      </c>
      <c r="F4" s="3" t="s">
        <v>28</v>
      </c>
      <c r="G4" s="24" t="s">
        <v>36</v>
      </c>
      <c r="H4" s="3" t="s">
        <v>30</v>
      </c>
      <c r="I4" s="25">
        <f>BIN2DEC(TableOpcodes[[#This Row],[OPCODE]])</f>
        <v>3</v>
      </c>
      <c r="J4" s="25">
        <f>IF(TableOpcodes[[#This Row],[FUNCT7 or IMM]]="–",,BIN2DEC(TableOpcodes[[#This Row],[FUNCT7 or IMM]]))</f>
        <v>0</v>
      </c>
      <c r="K4" s="25">
        <f>IF(TableOpcodes[[#This Row],[FUNCT3]]="–",,BIN2DEC(TableOpcodes[[#This Row],[FUNCT3]]))</f>
        <v>1</v>
      </c>
      <c r="L4" s="27" t="s">
        <v>37</v>
      </c>
      <c r="M4" s="29" t="s">
        <v>38</v>
      </c>
      <c r="N4" s="25"/>
      <c r="O4" s="50" t="s">
        <v>39</v>
      </c>
      <c r="P4" s="30" t="str">
        <v>sub</v>
      </c>
      <c r="Q4" s="27" t="str">
        <v>lh</v>
      </c>
      <c r="R4" t="str">
        <v>sh</v>
      </c>
      <c r="S4" t="str">
        <v>lui</v>
      </c>
      <c r="T4" t="str">
        <v>bne</v>
      </c>
    </row>
    <row r="5" spans="1:21" x14ac:dyDescent="0.25">
      <c r="A5" t="s">
        <v>40</v>
      </c>
      <c r="B5">
        <v>3</v>
      </c>
      <c r="D5" t="s">
        <v>41</v>
      </c>
      <c r="E5" s="3" t="s">
        <v>27</v>
      </c>
      <c r="F5" s="3" t="s">
        <v>28</v>
      </c>
      <c r="G5" s="24" t="s">
        <v>42</v>
      </c>
      <c r="H5" s="3" t="s">
        <v>30</v>
      </c>
      <c r="I5" s="25">
        <f>BIN2DEC(TableOpcodes[[#This Row],[OPCODE]])</f>
        <v>3</v>
      </c>
      <c r="J5" s="25">
        <f>IF(TableOpcodes[[#This Row],[FUNCT7 or IMM]]="–",,BIN2DEC(TableOpcodes[[#This Row],[FUNCT7 or IMM]]))</f>
        <v>0</v>
      </c>
      <c r="K5" s="25">
        <f>IF(TableOpcodes[[#This Row],[FUNCT3]]="–",,BIN2DEC(TableOpcodes[[#This Row],[FUNCT3]]))</f>
        <v>2</v>
      </c>
      <c r="L5" s="27" t="s">
        <v>43</v>
      </c>
      <c r="M5" s="29" t="s">
        <v>44</v>
      </c>
      <c r="N5" s="25"/>
      <c r="O5" s="50" t="s">
        <v>18</v>
      </c>
      <c r="P5" s="30" t="str">
        <v>sll</v>
      </c>
      <c r="Q5" s="27" t="str">
        <v>lw</v>
      </c>
      <c r="R5" t="str">
        <v>sw</v>
      </c>
      <c r="T5" t="str">
        <v>blt</v>
      </c>
    </row>
    <row r="6" spans="1:21" x14ac:dyDescent="0.25">
      <c r="A6" t="s">
        <v>45</v>
      </c>
      <c r="B6">
        <v>4</v>
      </c>
      <c r="D6" t="s">
        <v>46</v>
      </c>
      <c r="E6" s="3" t="s">
        <v>27</v>
      </c>
      <c r="F6" s="3" t="s">
        <v>28</v>
      </c>
      <c r="G6" s="24" t="s">
        <v>47</v>
      </c>
      <c r="H6" s="3" t="s">
        <v>30</v>
      </c>
      <c r="I6" s="25">
        <f>BIN2DEC(TableOpcodes[[#This Row],[OPCODE]])</f>
        <v>3</v>
      </c>
      <c r="J6" s="25">
        <f>IF(TableOpcodes[[#This Row],[FUNCT7 or IMM]]="–",,BIN2DEC(TableOpcodes[[#This Row],[FUNCT7 or IMM]]))</f>
        <v>0</v>
      </c>
      <c r="K6" s="25">
        <f>IF(TableOpcodes[[#This Row],[FUNCT3]]="–",,BIN2DEC(TableOpcodes[[#This Row],[FUNCT3]]))</f>
        <v>4</v>
      </c>
      <c r="L6" s="27" t="s">
        <v>48</v>
      </c>
      <c r="M6" s="29" t="s">
        <v>49</v>
      </c>
      <c r="N6" s="25"/>
      <c r="O6" s="50" t="s">
        <v>50</v>
      </c>
      <c r="P6" s="30" t="str">
        <v>slt</v>
      </c>
      <c r="Q6" s="27" t="str">
        <v>lbu</v>
      </c>
      <c r="T6" t="str">
        <v>bge</v>
      </c>
    </row>
    <row r="7" spans="1:21" x14ac:dyDescent="0.25">
      <c r="A7" t="s">
        <v>51</v>
      </c>
      <c r="B7">
        <v>5</v>
      </c>
      <c r="D7" t="s">
        <v>52</v>
      </c>
      <c r="E7" s="3" t="s">
        <v>27</v>
      </c>
      <c r="F7" s="3" t="s">
        <v>28</v>
      </c>
      <c r="G7" s="24" t="s">
        <v>53</v>
      </c>
      <c r="H7" s="3" t="s">
        <v>30</v>
      </c>
      <c r="I7" s="25">
        <f>BIN2DEC(TableOpcodes[[#This Row],[OPCODE]])</f>
        <v>3</v>
      </c>
      <c r="J7" s="25">
        <f>IF(TableOpcodes[[#This Row],[FUNCT7 or IMM]]="–",,BIN2DEC(TableOpcodes[[#This Row],[FUNCT7 or IMM]]))</f>
        <v>0</v>
      </c>
      <c r="K7" s="25">
        <f>IF(TableOpcodes[[#This Row],[FUNCT3]]="–",,BIN2DEC(TableOpcodes[[#This Row],[FUNCT3]]))</f>
        <v>5</v>
      </c>
      <c r="L7" s="27" t="s">
        <v>54</v>
      </c>
      <c r="M7" s="29" t="s">
        <v>55</v>
      </c>
      <c r="N7" s="25"/>
      <c r="O7" s="50"/>
      <c r="P7" s="30" t="str">
        <v>sltu</v>
      </c>
      <c r="Q7" s="27" t="str">
        <v>lhu</v>
      </c>
      <c r="T7" t="str">
        <v>bltu</v>
      </c>
    </row>
    <row r="8" spans="1:21" x14ac:dyDescent="0.25">
      <c r="A8" t="s">
        <v>56</v>
      </c>
      <c r="B8">
        <v>6</v>
      </c>
      <c r="D8" t="s">
        <v>57</v>
      </c>
      <c r="E8" s="3" t="s">
        <v>27</v>
      </c>
      <c r="F8" s="3" t="s">
        <v>58</v>
      </c>
      <c r="G8" s="24" t="s">
        <v>29</v>
      </c>
      <c r="H8" s="3" t="s">
        <v>30</v>
      </c>
      <c r="I8" s="25">
        <f>BIN2DEC(TableOpcodes[[#This Row],[OPCODE]])</f>
        <v>19</v>
      </c>
      <c r="J8" s="25">
        <f>IF(TableOpcodes[[#This Row],[FUNCT7 or IMM]]="–",,BIN2DEC(TableOpcodes[[#This Row],[FUNCT7 or IMM]]))</f>
        <v>0</v>
      </c>
      <c r="K8" s="25">
        <f>IF(TableOpcodes[[#This Row],[FUNCT3]]="–",,BIN2DEC(TableOpcodes[[#This Row],[FUNCT3]]))</f>
        <v>0</v>
      </c>
      <c r="L8" s="27" t="s">
        <v>59</v>
      </c>
      <c r="M8" s="29" t="s">
        <v>60</v>
      </c>
      <c r="N8" s="25"/>
      <c r="O8" s="50"/>
      <c r="P8" s="30" t="str">
        <v>xor</v>
      </c>
      <c r="Q8" s="27" t="str">
        <v>addi</v>
      </c>
      <c r="T8" t="str">
        <v>bgeu</v>
      </c>
    </row>
    <row r="9" spans="1:21" x14ac:dyDescent="0.25">
      <c r="A9" t="s">
        <v>61</v>
      </c>
      <c r="B9">
        <v>7</v>
      </c>
      <c r="D9" t="s">
        <v>62</v>
      </c>
      <c r="E9" s="3" t="s">
        <v>27</v>
      </c>
      <c r="F9" s="3" t="s">
        <v>58</v>
      </c>
      <c r="G9" s="24" t="s">
        <v>36</v>
      </c>
      <c r="H9" s="3" t="s">
        <v>63</v>
      </c>
      <c r="I9" s="25">
        <f>BIN2DEC(TableOpcodes[[#This Row],[OPCODE]])</f>
        <v>19</v>
      </c>
      <c r="J9" s="25" t="e">
        <f>IF(TableOpcodes[[#This Row],[FUNCT7 or IMM]]="–",,BIN2DEC(TableOpcodes[[#This Row],[FUNCT7 or IMM]]))</f>
        <v>#NUM!</v>
      </c>
      <c r="K9" s="25">
        <f>IF(TableOpcodes[[#This Row],[FUNCT3]]="–",,BIN2DEC(TableOpcodes[[#This Row],[FUNCT3]]))</f>
        <v>1</v>
      </c>
      <c r="L9" s="27" t="s">
        <v>64</v>
      </c>
      <c r="M9" s="29" t="s">
        <v>65</v>
      </c>
      <c r="N9" s="25"/>
      <c r="O9" s="50"/>
      <c r="P9" s="30" t="str">
        <v>srl</v>
      </c>
      <c r="Q9" s="27" t="str">
        <v>slli</v>
      </c>
    </row>
    <row r="10" spans="1:21" x14ac:dyDescent="0.25">
      <c r="A10" t="s">
        <v>66</v>
      </c>
      <c r="B10">
        <v>8</v>
      </c>
      <c r="D10" t="s">
        <v>67</v>
      </c>
      <c r="E10" s="3" t="s">
        <v>27</v>
      </c>
      <c r="F10" s="3" t="s">
        <v>58</v>
      </c>
      <c r="G10" s="24" t="s">
        <v>42</v>
      </c>
      <c r="H10" s="3" t="s">
        <v>30</v>
      </c>
      <c r="I10" s="25">
        <f>BIN2DEC(TableOpcodes[[#This Row],[OPCODE]])</f>
        <v>19</v>
      </c>
      <c r="J10" s="25">
        <f>IF(TableOpcodes[[#This Row],[FUNCT7 or IMM]]="–",,BIN2DEC(TableOpcodes[[#This Row],[FUNCT7 or IMM]]))</f>
        <v>0</v>
      </c>
      <c r="K10" s="25">
        <f>IF(TableOpcodes[[#This Row],[FUNCT3]]="–",,BIN2DEC(TableOpcodes[[#This Row],[FUNCT3]]))</f>
        <v>2</v>
      </c>
      <c r="L10" s="27" t="s">
        <v>68</v>
      </c>
      <c r="M10" s="29" t="s">
        <v>69</v>
      </c>
      <c r="N10" s="25"/>
      <c r="O10" s="50"/>
      <c r="P10" s="30" t="str">
        <v>sra</v>
      </c>
      <c r="Q10" s="27" t="str">
        <v>slti</v>
      </c>
    </row>
    <row r="11" spans="1:21" x14ac:dyDescent="0.25">
      <c r="A11" t="s">
        <v>70</v>
      </c>
      <c r="B11">
        <v>9</v>
      </c>
      <c r="D11" t="s">
        <v>71</v>
      </c>
      <c r="E11" s="3" t="s">
        <v>27</v>
      </c>
      <c r="F11" s="3" t="s">
        <v>58</v>
      </c>
      <c r="G11" s="24" t="s">
        <v>72</v>
      </c>
      <c r="H11" s="3" t="s">
        <v>30</v>
      </c>
      <c r="I11" s="25">
        <f>BIN2DEC(TableOpcodes[[#This Row],[OPCODE]])</f>
        <v>19</v>
      </c>
      <c r="J11" s="25">
        <f>IF(TableOpcodes[[#This Row],[FUNCT7 or IMM]]="–",,BIN2DEC(TableOpcodes[[#This Row],[FUNCT7 or IMM]]))</f>
        <v>0</v>
      </c>
      <c r="K11" s="25">
        <f>IF(TableOpcodes[[#This Row],[FUNCT3]]="–",,BIN2DEC(TableOpcodes[[#This Row],[FUNCT3]]))</f>
        <v>3</v>
      </c>
      <c r="L11" s="27" t="s">
        <v>73</v>
      </c>
      <c r="M11" s="29" t="s">
        <v>69</v>
      </c>
      <c r="N11" s="25"/>
      <c r="O11" s="50"/>
      <c r="P11" s="30" t="str">
        <v>or</v>
      </c>
      <c r="Q11" s="27" t="str">
        <v>sltiu</v>
      </c>
    </row>
    <row r="12" spans="1:21" x14ac:dyDescent="0.25">
      <c r="A12" t="s">
        <v>74</v>
      </c>
      <c r="B12">
        <v>10</v>
      </c>
      <c r="D12" t="s">
        <v>75</v>
      </c>
      <c r="E12" s="3" t="s">
        <v>27</v>
      </c>
      <c r="F12" s="3" t="s">
        <v>58</v>
      </c>
      <c r="G12" s="24" t="s">
        <v>47</v>
      </c>
      <c r="H12" s="3" t="s">
        <v>30</v>
      </c>
      <c r="I12" s="25">
        <f>BIN2DEC(TableOpcodes[[#This Row],[OPCODE]])</f>
        <v>19</v>
      </c>
      <c r="J12" s="25">
        <f>IF(TableOpcodes[[#This Row],[FUNCT7 or IMM]]="–",,BIN2DEC(TableOpcodes[[#This Row],[FUNCT7 or IMM]]))</f>
        <v>0</v>
      </c>
      <c r="K12" s="25">
        <f>IF(TableOpcodes[[#This Row],[FUNCT3]]="–",,BIN2DEC(TableOpcodes[[#This Row],[FUNCT3]]))</f>
        <v>4</v>
      </c>
      <c r="L12" s="27" t="s">
        <v>76</v>
      </c>
      <c r="M12" s="29" t="s">
        <v>77</v>
      </c>
      <c r="N12" s="25"/>
      <c r="O12" s="50"/>
      <c r="P12" s="30" t="str">
        <v>and</v>
      </c>
      <c r="Q12" s="27" t="str">
        <v>xori</v>
      </c>
    </row>
    <row r="13" spans="1:21" x14ac:dyDescent="0.25">
      <c r="A13" t="s">
        <v>78</v>
      </c>
      <c r="B13">
        <v>11</v>
      </c>
      <c r="D13" t="s">
        <v>79</v>
      </c>
      <c r="E13" s="3" t="s">
        <v>27</v>
      </c>
      <c r="F13" s="3" t="s">
        <v>58</v>
      </c>
      <c r="G13" s="24" t="s">
        <v>53</v>
      </c>
      <c r="H13" s="3" t="s">
        <v>63</v>
      </c>
      <c r="I13" s="25">
        <f>BIN2DEC(TableOpcodes[[#This Row],[OPCODE]])</f>
        <v>19</v>
      </c>
      <c r="J13" s="25" t="e">
        <f>IF(TableOpcodes[[#This Row],[FUNCT7 or IMM]]="–",,BIN2DEC(TableOpcodes[[#This Row],[FUNCT7 or IMM]]))</f>
        <v>#NUM!</v>
      </c>
      <c r="K13" s="25">
        <f>IF(TableOpcodes[[#This Row],[FUNCT3]]="–",,BIN2DEC(TableOpcodes[[#This Row],[FUNCT3]]))</f>
        <v>5</v>
      </c>
      <c r="L13" s="27" t="s">
        <v>80</v>
      </c>
      <c r="M13" s="29" t="s">
        <v>81</v>
      </c>
      <c r="N13" s="25"/>
      <c r="O13" s="50"/>
      <c r="P13" s="30"/>
      <c r="Q13" s="27" t="str">
        <v>srli</v>
      </c>
    </row>
    <row r="14" spans="1:21" x14ac:dyDescent="0.25">
      <c r="A14" t="s">
        <v>82</v>
      </c>
      <c r="B14">
        <v>12</v>
      </c>
      <c r="D14" t="s">
        <v>83</v>
      </c>
      <c r="E14" s="3" t="s">
        <v>27</v>
      </c>
      <c r="F14" s="3" t="s">
        <v>58</v>
      </c>
      <c r="G14" s="24" t="s">
        <v>53</v>
      </c>
      <c r="H14" s="3" t="s">
        <v>84</v>
      </c>
      <c r="I14" s="25">
        <f>BIN2DEC(TableOpcodes[[#This Row],[OPCODE]])</f>
        <v>19</v>
      </c>
      <c r="J14" s="25" t="e">
        <f>IF(TableOpcodes[[#This Row],[FUNCT7 or IMM]]="–",,BIN2DEC(TableOpcodes[[#This Row],[FUNCT7 or IMM]]))</f>
        <v>#NUM!</v>
      </c>
      <c r="K14" s="25">
        <f>IF(TableOpcodes[[#This Row],[FUNCT3]]="–",,BIN2DEC(TableOpcodes[[#This Row],[FUNCT3]]))</f>
        <v>5</v>
      </c>
      <c r="L14" s="27" t="s">
        <v>85</v>
      </c>
      <c r="M14" s="29" t="s">
        <v>86</v>
      </c>
      <c r="N14" s="25"/>
      <c r="O14" s="50"/>
      <c r="P14" s="30"/>
      <c r="Q14" s="27" t="str">
        <v>srai</v>
      </c>
    </row>
    <row r="15" spans="1:21" x14ac:dyDescent="0.25">
      <c r="A15" t="s">
        <v>87</v>
      </c>
      <c r="B15">
        <v>13</v>
      </c>
      <c r="D15" t="s">
        <v>88</v>
      </c>
      <c r="E15" s="3" t="s">
        <v>27</v>
      </c>
      <c r="F15" s="3" t="s">
        <v>58</v>
      </c>
      <c r="G15" s="24" t="s">
        <v>89</v>
      </c>
      <c r="H15" s="3" t="s">
        <v>30</v>
      </c>
      <c r="I15" s="25">
        <f>BIN2DEC(TableOpcodes[[#This Row],[OPCODE]])</f>
        <v>19</v>
      </c>
      <c r="J15" s="25">
        <f>IF(TableOpcodes[[#This Row],[FUNCT7 or IMM]]="–",,BIN2DEC(TableOpcodes[[#This Row],[FUNCT7 or IMM]]))</f>
        <v>0</v>
      </c>
      <c r="K15" s="25">
        <f>IF(TableOpcodes[[#This Row],[FUNCT3]]="–",,BIN2DEC(TableOpcodes[[#This Row],[FUNCT3]]))</f>
        <v>6</v>
      </c>
      <c r="L15" s="27" t="s">
        <v>90</v>
      </c>
      <c r="M15" s="29" t="s">
        <v>91</v>
      </c>
      <c r="N15" s="25"/>
      <c r="O15" s="50"/>
      <c r="P15" s="30"/>
      <c r="Q15" s="27" t="str">
        <v>ori</v>
      </c>
    </row>
    <row r="16" spans="1:21" x14ac:dyDescent="0.25">
      <c r="A16" t="s">
        <v>92</v>
      </c>
      <c r="B16">
        <v>14</v>
      </c>
      <c r="D16" t="s">
        <v>93</v>
      </c>
      <c r="E16" s="3" t="s">
        <v>27</v>
      </c>
      <c r="F16" s="3" t="s">
        <v>58</v>
      </c>
      <c r="G16" s="24" t="s">
        <v>94</v>
      </c>
      <c r="H16" s="3" t="s">
        <v>30</v>
      </c>
      <c r="I16" s="25">
        <f>BIN2DEC(TableOpcodes[[#This Row],[OPCODE]])</f>
        <v>19</v>
      </c>
      <c r="J16" s="25">
        <f>IF(TableOpcodes[[#This Row],[FUNCT7 or IMM]]="–",,BIN2DEC(TableOpcodes[[#This Row],[FUNCT7 or IMM]]))</f>
        <v>0</v>
      </c>
      <c r="K16" s="25">
        <f>IF(TableOpcodes[[#This Row],[FUNCT3]]="–",,BIN2DEC(TableOpcodes[[#This Row],[FUNCT3]]))</f>
        <v>7</v>
      </c>
      <c r="L16" s="27" t="s">
        <v>95</v>
      </c>
      <c r="M16" s="29" t="s">
        <v>96</v>
      </c>
      <c r="N16" s="25"/>
      <c r="O16" s="50"/>
      <c r="P16" s="30"/>
      <c r="Q16" s="27" t="str">
        <v>andi</v>
      </c>
    </row>
    <row r="17" spans="1:21" hidden="1" x14ac:dyDescent="0.25">
      <c r="A17" t="s">
        <v>97</v>
      </c>
      <c r="B17">
        <v>15</v>
      </c>
      <c r="D17" t="s">
        <v>98</v>
      </c>
      <c r="E17" s="3" t="s">
        <v>99</v>
      </c>
      <c r="F17" s="3" t="s">
        <v>100</v>
      </c>
      <c r="G17" s="24" t="s">
        <v>30</v>
      </c>
      <c r="H17" s="3" t="s">
        <v>30</v>
      </c>
      <c r="I17" s="25">
        <f>BIN2DEC(TableOpcodes[[#This Row],[OPCODE]])</f>
        <v>23</v>
      </c>
      <c r="J17" s="25">
        <f>IF(TableOpcodes[[#This Row],[FUNCT7 or IMM]]="–",,BIN2DEC(TableOpcodes[[#This Row],[FUNCT7 or IMM]]))</f>
        <v>0</v>
      </c>
      <c r="K17" s="25">
        <f>IF(TableOpcodes[[#This Row],[FUNCT3]]="–",,BIN2DEC(TableOpcodes[[#This Row],[FUNCT3]]))</f>
        <v>0</v>
      </c>
      <c r="L17" s="27" t="s">
        <v>101</v>
      </c>
      <c r="M17" s="29" t="s">
        <v>102</v>
      </c>
      <c r="N17" s="25"/>
      <c r="O17" s="30"/>
      <c r="P17" s="30"/>
      <c r="Q17" s="27" t="str">
        <v>jalr</v>
      </c>
    </row>
    <row r="18" spans="1:21" ht="18" hidden="1" x14ac:dyDescent="0.25">
      <c r="A18" t="s">
        <v>103</v>
      </c>
      <c r="B18">
        <v>16</v>
      </c>
      <c r="D18" t="s">
        <v>104</v>
      </c>
      <c r="E18" s="3" t="s">
        <v>105</v>
      </c>
      <c r="F18" s="3" t="s">
        <v>106</v>
      </c>
      <c r="G18" s="24" t="s">
        <v>29</v>
      </c>
      <c r="H18" s="3" t="s">
        <v>30</v>
      </c>
      <c r="I18" s="25">
        <f>BIN2DEC(TableOpcodes[[#This Row],[OPCODE]])</f>
        <v>35</v>
      </c>
      <c r="J18" s="25">
        <f>IF(TableOpcodes[[#This Row],[FUNCT7 or IMM]]="–",,BIN2DEC(TableOpcodes[[#This Row],[FUNCT7 or IMM]]))</f>
        <v>0</v>
      </c>
      <c r="K18" s="25">
        <f>IF(TableOpcodes[[#This Row],[FUNCT3]]="–",,BIN2DEC(TableOpcodes[[#This Row],[FUNCT3]]))</f>
        <v>0</v>
      </c>
      <c r="L18" s="27" t="s">
        <v>107</v>
      </c>
      <c r="M18" s="28" t="s">
        <v>108</v>
      </c>
      <c r="N18" s="25"/>
      <c r="O18" s="30"/>
      <c r="P18" s="30"/>
      <c r="Q18" s="27"/>
    </row>
    <row r="19" spans="1:21" ht="18" hidden="1" x14ac:dyDescent="0.25">
      <c r="A19" t="s">
        <v>109</v>
      </c>
      <c r="B19">
        <v>17</v>
      </c>
      <c r="D19" t="s">
        <v>110</v>
      </c>
      <c r="E19" s="3" t="s">
        <v>105</v>
      </c>
      <c r="F19" s="3" t="s">
        <v>106</v>
      </c>
      <c r="G19" s="24" t="s">
        <v>36</v>
      </c>
      <c r="H19" s="3" t="s">
        <v>30</v>
      </c>
      <c r="I19" s="25">
        <f>BIN2DEC(TableOpcodes[[#This Row],[OPCODE]])</f>
        <v>35</v>
      </c>
      <c r="J19" s="25">
        <f>IF(TableOpcodes[[#This Row],[FUNCT7 or IMM]]="–",,BIN2DEC(TableOpcodes[[#This Row],[FUNCT7 or IMM]]))</f>
        <v>0</v>
      </c>
      <c r="K19" s="25">
        <f>IF(TableOpcodes[[#This Row],[FUNCT3]]="–",,BIN2DEC(TableOpcodes[[#This Row],[FUNCT3]]))</f>
        <v>1</v>
      </c>
      <c r="L19" s="27" t="s">
        <v>111</v>
      </c>
      <c r="M19" s="28" t="s">
        <v>112</v>
      </c>
      <c r="N19" s="25"/>
      <c r="O19" s="30"/>
      <c r="P19" s="30"/>
      <c r="Q19" s="27"/>
    </row>
    <row r="20" spans="1:21" hidden="1" x14ac:dyDescent="0.25">
      <c r="A20" t="s">
        <v>113</v>
      </c>
      <c r="B20">
        <v>18</v>
      </c>
      <c r="D20" t="s">
        <v>114</v>
      </c>
      <c r="E20" s="3" t="s">
        <v>105</v>
      </c>
      <c r="F20" s="3" t="s">
        <v>106</v>
      </c>
      <c r="G20" s="24" t="s">
        <v>42</v>
      </c>
      <c r="H20" s="3" t="s">
        <v>30</v>
      </c>
      <c r="I20" s="25">
        <f>BIN2DEC(TableOpcodes[[#This Row],[OPCODE]])</f>
        <v>35</v>
      </c>
      <c r="J20" s="25">
        <f>IF(TableOpcodes[[#This Row],[FUNCT7 or IMM]]="–",,BIN2DEC(TableOpcodes[[#This Row],[FUNCT7 or IMM]]))</f>
        <v>0</v>
      </c>
      <c r="K20" s="25">
        <f>IF(TableOpcodes[[#This Row],[FUNCT3]]="–",,BIN2DEC(TableOpcodes[[#This Row],[FUNCT3]]))</f>
        <v>2</v>
      </c>
      <c r="L20" s="27" t="s">
        <v>115</v>
      </c>
      <c r="M20" s="28" t="s">
        <v>116</v>
      </c>
      <c r="N20" s="25"/>
      <c r="O20" s="30"/>
      <c r="P20" s="30"/>
      <c r="Q20" s="27"/>
    </row>
    <row r="21" spans="1:21" hidden="1" x14ac:dyDescent="0.25">
      <c r="A21" t="s">
        <v>117</v>
      </c>
      <c r="B21">
        <v>19</v>
      </c>
      <c r="D21" t="s">
        <v>118</v>
      </c>
      <c r="E21" s="3" t="s">
        <v>119</v>
      </c>
      <c r="F21" s="3" t="s">
        <v>120</v>
      </c>
      <c r="G21" s="24" t="s">
        <v>29</v>
      </c>
      <c r="H21" s="3" t="s">
        <v>121</v>
      </c>
      <c r="I21" s="25">
        <f>BIN2DEC(TableOpcodes[[#This Row],[OPCODE]])</f>
        <v>51</v>
      </c>
      <c r="J21" s="25">
        <f>IF(TableOpcodes[[#This Row],[FUNCT7 or IMM]]="–",,BIN2DEC(TableOpcodes[[#This Row],[FUNCT7 or IMM]]))</f>
        <v>0</v>
      </c>
      <c r="K21" s="25">
        <f>IF(TableOpcodes[[#This Row],[FUNCT3]]="–",,BIN2DEC(TableOpcodes[[#This Row],[FUNCT3]]))</f>
        <v>0</v>
      </c>
      <c r="L21" s="27" t="s">
        <v>122</v>
      </c>
      <c r="M21" s="28" t="s">
        <v>123</v>
      </c>
      <c r="N21" s="25"/>
      <c r="O21" s="30"/>
      <c r="P21" s="30"/>
      <c r="Q21" s="27"/>
    </row>
    <row r="22" spans="1:21" hidden="1" x14ac:dyDescent="0.25">
      <c r="A22" t="s">
        <v>124</v>
      </c>
      <c r="B22">
        <v>20</v>
      </c>
      <c r="D22" t="s">
        <v>125</v>
      </c>
      <c r="E22" s="3" t="s">
        <v>119</v>
      </c>
      <c r="F22" s="3" t="s">
        <v>120</v>
      </c>
      <c r="G22" s="24" t="s">
        <v>29</v>
      </c>
      <c r="H22" s="3" t="s">
        <v>126</v>
      </c>
      <c r="I22" s="25">
        <f>BIN2DEC(TableOpcodes[[#This Row],[OPCODE]])</f>
        <v>51</v>
      </c>
      <c r="J22" s="25">
        <f>IF(TableOpcodes[[#This Row],[FUNCT7 or IMM]]="–",,BIN2DEC(TableOpcodes[[#This Row],[FUNCT7 or IMM]]))</f>
        <v>32</v>
      </c>
      <c r="K22" s="25">
        <f>IF(TableOpcodes[[#This Row],[FUNCT3]]="–",,BIN2DEC(TableOpcodes[[#This Row],[FUNCT3]]))</f>
        <v>0</v>
      </c>
      <c r="L22" s="27" t="s">
        <v>127</v>
      </c>
      <c r="M22" s="28" t="s">
        <v>128</v>
      </c>
      <c r="N22" s="25"/>
      <c r="O22" s="30"/>
      <c r="P22" s="30"/>
      <c r="Q22" s="27"/>
    </row>
    <row r="23" spans="1:21" ht="18" hidden="1" x14ac:dyDescent="0.25">
      <c r="A23" t="s">
        <v>129</v>
      </c>
      <c r="B23">
        <v>21</v>
      </c>
      <c r="D23" t="s">
        <v>130</v>
      </c>
      <c r="E23" s="3" t="s">
        <v>119</v>
      </c>
      <c r="F23" s="3" t="s">
        <v>120</v>
      </c>
      <c r="G23" s="24" t="s">
        <v>36</v>
      </c>
      <c r="H23" s="3" t="s">
        <v>121</v>
      </c>
      <c r="I23" s="25">
        <f>BIN2DEC(TableOpcodes[[#This Row],[OPCODE]])</f>
        <v>51</v>
      </c>
      <c r="J23" s="25">
        <f>IF(TableOpcodes[[#This Row],[FUNCT7 or IMM]]="–",,BIN2DEC(TableOpcodes[[#This Row],[FUNCT7 or IMM]]))</f>
        <v>0</v>
      </c>
      <c r="K23" s="25">
        <f>IF(TableOpcodes[[#This Row],[FUNCT3]]="–",,BIN2DEC(TableOpcodes[[#This Row],[FUNCT3]]))</f>
        <v>1</v>
      </c>
      <c r="L23" s="27" t="s">
        <v>131</v>
      </c>
      <c r="M23" s="28" t="s">
        <v>132</v>
      </c>
      <c r="N23" s="25"/>
      <c r="O23" s="30"/>
      <c r="P23" s="30"/>
      <c r="Q23" s="27"/>
    </row>
    <row r="24" spans="1:21" hidden="1" x14ac:dyDescent="0.25">
      <c r="A24" t="s">
        <v>133</v>
      </c>
      <c r="B24">
        <v>22</v>
      </c>
      <c r="D24" t="s">
        <v>134</v>
      </c>
      <c r="E24" s="3" t="s">
        <v>119</v>
      </c>
      <c r="F24" s="3" t="s">
        <v>120</v>
      </c>
      <c r="G24" s="24" t="s">
        <v>42</v>
      </c>
      <c r="H24" s="3" t="s">
        <v>121</v>
      </c>
      <c r="I24" s="25">
        <f>BIN2DEC(TableOpcodes[[#This Row],[OPCODE]])</f>
        <v>51</v>
      </c>
      <c r="J24" s="25">
        <f>IF(TableOpcodes[[#This Row],[FUNCT7 or IMM]]="–",,BIN2DEC(TableOpcodes[[#This Row],[FUNCT7 or IMM]]))</f>
        <v>0</v>
      </c>
      <c r="K24" s="25">
        <f>IF(TableOpcodes[[#This Row],[FUNCT3]]="–",,BIN2DEC(TableOpcodes[[#This Row],[FUNCT3]]))</f>
        <v>2</v>
      </c>
      <c r="L24" s="27" t="s">
        <v>135</v>
      </c>
      <c r="M24" s="28" t="s">
        <v>136</v>
      </c>
      <c r="N24" s="25"/>
      <c r="O24" s="30"/>
    </row>
    <row r="25" spans="1:21" hidden="1" x14ac:dyDescent="0.25">
      <c r="A25" t="s">
        <v>137</v>
      </c>
      <c r="B25">
        <v>23</v>
      </c>
      <c r="D25" t="s">
        <v>138</v>
      </c>
      <c r="E25" s="3" t="s">
        <v>119</v>
      </c>
      <c r="F25" s="3" t="s">
        <v>120</v>
      </c>
      <c r="G25" s="24" t="s">
        <v>72</v>
      </c>
      <c r="H25" s="3" t="s">
        <v>121</v>
      </c>
      <c r="I25" s="25">
        <f>BIN2DEC(TableOpcodes[[#This Row],[OPCODE]])</f>
        <v>51</v>
      </c>
      <c r="J25" s="25">
        <f>IF(TableOpcodes[[#This Row],[FUNCT7 or IMM]]="–",,BIN2DEC(TableOpcodes[[#This Row],[FUNCT7 or IMM]]))</f>
        <v>0</v>
      </c>
      <c r="K25" s="25">
        <f>IF(TableOpcodes[[#This Row],[FUNCT3]]="–",,BIN2DEC(TableOpcodes[[#This Row],[FUNCT3]]))</f>
        <v>3</v>
      </c>
      <c r="L25" s="27" t="s">
        <v>139</v>
      </c>
      <c r="M25" s="28" t="s">
        <v>136</v>
      </c>
      <c r="N25" s="25"/>
      <c r="O25" s="30"/>
      <c r="P25" s="52" t="s">
        <v>140</v>
      </c>
      <c r="Q25" s="52" t="s">
        <v>141</v>
      </c>
      <c r="R25" s="52" t="s">
        <v>142</v>
      </c>
      <c r="U25" s="52"/>
    </row>
    <row r="26" spans="1:21" ht="15.75" hidden="1" x14ac:dyDescent="0.3">
      <c r="A26" t="s">
        <v>143</v>
      </c>
      <c r="B26">
        <v>24</v>
      </c>
      <c r="D26" t="s">
        <v>144</v>
      </c>
      <c r="E26" s="3" t="s">
        <v>119</v>
      </c>
      <c r="F26" s="3" t="s">
        <v>120</v>
      </c>
      <c r="G26" s="24" t="s">
        <v>47</v>
      </c>
      <c r="H26" s="3" t="s">
        <v>121</v>
      </c>
      <c r="I26" s="25">
        <f>BIN2DEC(TableOpcodes[[#This Row],[OPCODE]])</f>
        <v>51</v>
      </c>
      <c r="J26" s="25">
        <f>IF(TableOpcodes[[#This Row],[FUNCT7 or IMM]]="–",,BIN2DEC(TableOpcodes[[#This Row],[FUNCT7 or IMM]]))</f>
        <v>0</v>
      </c>
      <c r="K26" s="25">
        <f>IF(TableOpcodes[[#This Row],[FUNCT3]]="–",,BIN2DEC(TableOpcodes[[#This Row],[FUNCT3]]))</f>
        <v>4</v>
      </c>
      <c r="L26" s="27" t="s">
        <v>145</v>
      </c>
      <c r="M26" s="28" t="s">
        <v>146</v>
      </c>
      <c r="N26" s="25"/>
      <c r="O26" s="30"/>
      <c r="P26" s="53" t="s">
        <v>147</v>
      </c>
      <c r="Q26" s="51" t="s">
        <v>148</v>
      </c>
      <c r="R26" s="423" t="s">
        <v>149</v>
      </c>
    </row>
    <row r="27" spans="1:21" ht="18" hidden="1" x14ac:dyDescent="0.3">
      <c r="A27" t="s">
        <v>150</v>
      </c>
      <c r="B27">
        <v>25</v>
      </c>
      <c r="D27" t="s">
        <v>151</v>
      </c>
      <c r="E27" s="3" t="s">
        <v>119</v>
      </c>
      <c r="F27" s="3" t="s">
        <v>120</v>
      </c>
      <c r="G27" s="24" t="s">
        <v>53</v>
      </c>
      <c r="H27" s="3" t="s">
        <v>121</v>
      </c>
      <c r="I27" s="25">
        <f>BIN2DEC(TableOpcodes[[#This Row],[OPCODE]])</f>
        <v>51</v>
      </c>
      <c r="J27" s="25">
        <f>IF(TableOpcodes[[#This Row],[FUNCT7 or IMM]]="–",,BIN2DEC(TableOpcodes[[#This Row],[FUNCT7 or IMM]]))</f>
        <v>0</v>
      </c>
      <c r="K27" s="25">
        <f>IF(TableOpcodes[[#This Row],[FUNCT3]]="–",,BIN2DEC(TableOpcodes[[#This Row],[FUNCT3]]))</f>
        <v>5</v>
      </c>
      <c r="L27" s="27" t="s">
        <v>152</v>
      </c>
      <c r="M27" s="28" t="s">
        <v>153</v>
      </c>
      <c r="N27" s="25"/>
      <c r="O27" s="30"/>
      <c r="P27" s="53" t="s">
        <v>154</v>
      </c>
      <c r="Q27" s="51" t="s">
        <v>155</v>
      </c>
      <c r="R27" s="423"/>
    </row>
    <row r="28" spans="1:21" ht="18" hidden="1" x14ac:dyDescent="0.25">
      <c r="A28" t="s">
        <v>156</v>
      </c>
      <c r="B28">
        <v>26</v>
      </c>
      <c r="D28" t="s">
        <v>157</v>
      </c>
      <c r="E28" s="3" t="s">
        <v>119</v>
      </c>
      <c r="F28" s="3" t="s">
        <v>120</v>
      </c>
      <c r="G28" s="24" t="s">
        <v>53</v>
      </c>
      <c r="H28" s="3" t="s">
        <v>126</v>
      </c>
      <c r="I28" s="25">
        <f>BIN2DEC(TableOpcodes[[#This Row],[OPCODE]])</f>
        <v>51</v>
      </c>
      <c r="J28" s="25">
        <f>IF(TableOpcodes[[#This Row],[FUNCT7 or IMM]]="–",,BIN2DEC(TableOpcodes[[#This Row],[FUNCT7 or IMM]]))</f>
        <v>32</v>
      </c>
      <c r="K28" s="25">
        <f>IF(TableOpcodes[[#This Row],[FUNCT3]]="–",,BIN2DEC(TableOpcodes[[#This Row],[FUNCT3]]))</f>
        <v>5</v>
      </c>
      <c r="L28" s="27" t="s">
        <v>158</v>
      </c>
      <c r="M28" s="28" t="s">
        <v>159</v>
      </c>
      <c r="N28" s="25"/>
      <c r="O28" s="30"/>
      <c r="Q28" s="27"/>
    </row>
    <row r="29" spans="1:21" hidden="1" x14ac:dyDescent="0.25">
      <c r="A29" t="s">
        <v>160</v>
      </c>
      <c r="B29">
        <v>27</v>
      </c>
      <c r="D29" t="s">
        <v>161</v>
      </c>
      <c r="E29" s="3" t="s">
        <v>119</v>
      </c>
      <c r="F29" s="3" t="s">
        <v>120</v>
      </c>
      <c r="G29" s="24" t="s">
        <v>89</v>
      </c>
      <c r="H29" s="3" t="s">
        <v>121</v>
      </c>
      <c r="I29" s="25">
        <f>BIN2DEC(TableOpcodes[[#This Row],[OPCODE]])</f>
        <v>51</v>
      </c>
      <c r="J29" s="25">
        <f>IF(TableOpcodes[[#This Row],[FUNCT7 or IMM]]="–",,BIN2DEC(TableOpcodes[[#This Row],[FUNCT7 or IMM]]))</f>
        <v>0</v>
      </c>
      <c r="K29" s="25">
        <f>IF(TableOpcodes[[#This Row],[FUNCT3]]="–",,BIN2DEC(TableOpcodes[[#This Row],[FUNCT3]]))</f>
        <v>6</v>
      </c>
      <c r="L29" s="27" t="s">
        <v>162</v>
      </c>
      <c r="M29" s="28" t="s">
        <v>163</v>
      </c>
      <c r="N29" s="25"/>
      <c r="O29" s="30"/>
      <c r="P29" s="30"/>
      <c r="Q29" s="30"/>
      <c r="R29" s="30"/>
      <c r="S29" s="30"/>
      <c r="T29" s="30"/>
    </row>
    <row r="30" spans="1:21" hidden="1" x14ac:dyDescent="0.25">
      <c r="A30" t="s">
        <v>164</v>
      </c>
      <c r="B30">
        <v>28</v>
      </c>
      <c r="D30" t="s">
        <v>165</v>
      </c>
      <c r="E30" s="3" t="s">
        <v>119</v>
      </c>
      <c r="F30" s="3" t="s">
        <v>120</v>
      </c>
      <c r="G30" s="24" t="s">
        <v>94</v>
      </c>
      <c r="H30" s="3" t="s">
        <v>121</v>
      </c>
      <c r="I30" s="25">
        <f>BIN2DEC(TableOpcodes[[#This Row],[OPCODE]])</f>
        <v>51</v>
      </c>
      <c r="J30" s="25">
        <f>IF(TableOpcodes[[#This Row],[FUNCT7 or IMM]]="–",,BIN2DEC(TableOpcodes[[#This Row],[FUNCT7 or IMM]]))</f>
        <v>0</v>
      </c>
      <c r="K30" s="25">
        <f>IF(TableOpcodes[[#This Row],[FUNCT3]]="–",,BIN2DEC(TableOpcodes[[#This Row],[FUNCT3]]))</f>
        <v>7</v>
      </c>
      <c r="L30" s="27" t="s">
        <v>166</v>
      </c>
      <c r="M30" s="28" t="s">
        <v>167</v>
      </c>
      <c r="N30" s="25"/>
      <c r="O30" s="30"/>
      <c r="P30" s="30"/>
      <c r="Q30" s="30"/>
      <c r="R30" s="30"/>
      <c r="S30" s="30"/>
      <c r="T30" s="30"/>
    </row>
    <row r="31" spans="1:21" hidden="1" x14ac:dyDescent="0.25">
      <c r="A31" t="s">
        <v>168</v>
      </c>
      <c r="B31">
        <v>29</v>
      </c>
      <c r="D31" t="s">
        <v>169</v>
      </c>
      <c r="E31" s="3" t="s">
        <v>99</v>
      </c>
      <c r="F31" s="3" t="s">
        <v>170</v>
      </c>
      <c r="G31" s="24" t="s">
        <v>30</v>
      </c>
      <c r="H31" s="3" t="s">
        <v>30</v>
      </c>
      <c r="I31" s="25">
        <f>BIN2DEC(TableOpcodes[[#This Row],[OPCODE]])</f>
        <v>55</v>
      </c>
      <c r="J31" s="25">
        <f>IF(TableOpcodes[[#This Row],[FUNCT7 or IMM]]="–",,BIN2DEC(TableOpcodes[[#This Row],[FUNCT7 or IMM]]))</f>
        <v>0</v>
      </c>
      <c r="K31" s="25">
        <f>IF(TableOpcodes[[#This Row],[FUNCT3]]="–",,BIN2DEC(TableOpcodes[[#This Row],[FUNCT3]]))</f>
        <v>0</v>
      </c>
      <c r="L31" s="27" t="s">
        <v>171</v>
      </c>
      <c r="M31" s="28" t="s">
        <v>172</v>
      </c>
      <c r="N31" s="25"/>
      <c r="O31" s="30"/>
      <c r="P31" s="30"/>
      <c r="Q31" s="30"/>
      <c r="R31" s="30"/>
      <c r="S31" s="30"/>
      <c r="T31" s="30"/>
    </row>
    <row r="32" spans="1:21" hidden="1" x14ac:dyDescent="0.25">
      <c r="A32" t="s">
        <v>173</v>
      </c>
      <c r="B32">
        <v>30</v>
      </c>
      <c r="D32" t="s">
        <v>174</v>
      </c>
      <c r="E32" s="3" t="s">
        <v>175</v>
      </c>
      <c r="F32" s="3" t="s">
        <v>176</v>
      </c>
      <c r="G32" s="24" t="s">
        <v>29</v>
      </c>
      <c r="H32" s="3" t="s">
        <v>30</v>
      </c>
      <c r="I32" s="25">
        <f>BIN2DEC(TableOpcodes[[#This Row],[OPCODE]])</f>
        <v>99</v>
      </c>
      <c r="J32" s="25">
        <f>IF(TableOpcodes[[#This Row],[FUNCT7 or IMM]]="–",,BIN2DEC(TableOpcodes[[#This Row],[FUNCT7 or IMM]]))</f>
        <v>0</v>
      </c>
      <c r="K32" s="25">
        <f>IF(TableOpcodes[[#This Row],[FUNCT3]]="–",,BIN2DEC(TableOpcodes[[#This Row],[FUNCT3]]))</f>
        <v>0</v>
      </c>
      <c r="L32" s="27" t="s">
        <v>177</v>
      </c>
      <c r="M32" s="28" t="s">
        <v>178</v>
      </c>
      <c r="N32" s="25"/>
      <c r="O32" s="30"/>
      <c r="P32" s="30"/>
      <c r="Q32" s="30"/>
      <c r="R32" s="30"/>
      <c r="S32" s="30"/>
      <c r="T32" s="30"/>
    </row>
    <row r="33" spans="1:20" hidden="1" x14ac:dyDescent="0.25">
      <c r="A33" t="s">
        <v>179</v>
      </c>
      <c r="B33">
        <v>31</v>
      </c>
      <c r="D33" t="s">
        <v>180</v>
      </c>
      <c r="E33" s="3" t="s">
        <v>175</v>
      </c>
      <c r="F33" s="3" t="s">
        <v>176</v>
      </c>
      <c r="G33" s="24" t="s">
        <v>36</v>
      </c>
      <c r="H33" s="3" t="s">
        <v>30</v>
      </c>
      <c r="I33" s="25">
        <f>BIN2DEC(TableOpcodes[[#This Row],[OPCODE]])</f>
        <v>99</v>
      </c>
      <c r="J33" s="25">
        <f>IF(TableOpcodes[[#This Row],[FUNCT7 or IMM]]="–",,BIN2DEC(TableOpcodes[[#This Row],[FUNCT7 or IMM]]))</f>
        <v>0</v>
      </c>
      <c r="K33" s="25">
        <f>IF(TableOpcodes[[#This Row],[FUNCT3]]="–",,BIN2DEC(TableOpcodes[[#This Row],[FUNCT3]]))</f>
        <v>1</v>
      </c>
      <c r="L33" s="27" t="s">
        <v>181</v>
      </c>
      <c r="M33" s="28" t="s">
        <v>182</v>
      </c>
      <c r="N33" s="25"/>
      <c r="O33" s="30"/>
      <c r="P33" s="30"/>
      <c r="Q33" s="30"/>
      <c r="R33" s="30"/>
      <c r="S33" s="30"/>
      <c r="T33" s="30"/>
    </row>
    <row r="34" spans="1:20" hidden="1" x14ac:dyDescent="0.25">
      <c r="D34" t="s">
        <v>183</v>
      </c>
      <c r="E34" s="3" t="s">
        <v>175</v>
      </c>
      <c r="F34" s="3">
        <v>1100011</v>
      </c>
      <c r="G34" s="24" t="s">
        <v>47</v>
      </c>
      <c r="H34" s="3" t="s">
        <v>30</v>
      </c>
      <c r="I34" s="25">
        <f>BIN2DEC(TableOpcodes[[#This Row],[OPCODE]])</f>
        <v>99</v>
      </c>
      <c r="J34" s="25">
        <f>IF(TableOpcodes[[#This Row],[FUNCT7 or IMM]]="–",,BIN2DEC(TableOpcodes[[#This Row],[FUNCT7 or IMM]]))</f>
        <v>0</v>
      </c>
      <c r="K34" s="25">
        <f>IF(TableOpcodes[[#This Row],[FUNCT3]]="–",,BIN2DEC(TableOpcodes[[#This Row],[FUNCT3]]))</f>
        <v>4</v>
      </c>
      <c r="L34" s="27" t="s">
        <v>184</v>
      </c>
      <c r="M34" s="28" t="s">
        <v>185</v>
      </c>
      <c r="N34" s="25"/>
      <c r="O34" s="30"/>
      <c r="P34" s="30"/>
      <c r="Q34" s="30"/>
      <c r="R34" s="30"/>
      <c r="S34" s="30"/>
      <c r="T34" s="30"/>
    </row>
    <row r="35" spans="1:20" hidden="1" x14ac:dyDescent="0.25">
      <c r="D35" t="s">
        <v>186</v>
      </c>
      <c r="E35" s="3" t="s">
        <v>175</v>
      </c>
      <c r="F35" s="3" t="s">
        <v>176</v>
      </c>
      <c r="G35" s="24" t="s">
        <v>53</v>
      </c>
      <c r="H35" s="3" t="s">
        <v>30</v>
      </c>
      <c r="I35" s="25">
        <f>BIN2DEC(TableOpcodes[[#This Row],[OPCODE]])</f>
        <v>99</v>
      </c>
      <c r="J35" s="25">
        <f>IF(TableOpcodes[[#This Row],[FUNCT7 or IMM]]="–",,BIN2DEC(TableOpcodes[[#This Row],[FUNCT7 or IMM]]))</f>
        <v>0</v>
      </c>
      <c r="K35" s="25">
        <f>IF(TableOpcodes[[#This Row],[FUNCT3]]="–",,BIN2DEC(TableOpcodes[[#This Row],[FUNCT3]]))</f>
        <v>5</v>
      </c>
      <c r="L35" s="27" t="s">
        <v>187</v>
      </c>
      <c r="M35" s="28" t="s">
        <v>188</v>
      </c>
      <c r="N35" s="25"/>
      <c r="O35" s="30"/>
      <c r="P35" s="30"/>
      <c r="Q35" s="27"/>
    </row>
    <row r="36" spans="1:20" hidden="1" x14ac:dyDescent="0.25">
      <c r="D36" t="s">
        <v>189</v>
      </c>
      <c r="E36" s="3" t="s">
        <v>175</v>
      </c>
      <c r="F36" s="3" t="s">
        <v>176</v>
      </c>
      <c r="G36" s="24" t="s">
        <v>89</v>
      </c>
      <c r="H36" s="3" t="s">
        <v>30</v>
      </c>
      <c r="I36" s="25">
        <f>BIN2DEC(TableOpcodes[[#This Row],[OPCODE]])</f>
        <v>99</v>
      </c>
      <c r="J36" s="25">
        <f>IF(TableOpcodes[[#This Row],[FUNCT7 or IMM]]="–",,BIN2DEC(TableOpcodes[[#This Row],[FUNCT7 or IMM]]))</f>
        <v>0</v>
      </c>
      <c r="K36" s="25">
        <f>IF(TableOpcodes[[#This Row],[FUNCT3]]="–",,BIN2DEC(TableOpcodes[[#This Row],[FUNCT3]]))</f>
        <v>6</v>
      </c>
      <c r="L36" s="27" t="s">
        <v>190</v>
      </c>
      <c r="M36" s="28" t="s">
        <v>185</v>
      </c>
      <c r="N36" s="25"/>
      <c r="O36" s="30"/>
      <c r="P36" s="30"/>
      <c r="Q36" s="27"/>
    </row>
    <row r="37" spans="1:20" hidden="1" x14ac:dyDescent="0.25">
      <c r="D37" t="s">
        <v>191</v>
      </c>
      <c r="E37" s="3" t="s">
        <v>175</v>
      </c>
      <c r="F37" s="3" t="s">
        <v>176</v>
      </c>
      <c r="G37" s="24" t="s">
        <v>94</v>
      </c>
      <c r="H37" s="3" t="s">
        <v>30</v>
      </c>
      <c r="I37" s="25">
        <f>BIN2DEC(TableOpcodes[[#This Row],[OPCODE]])</f>
        <v>99</v>
      </c>
      <c r="J37" s="25">
        <f>IF(TableOpcodes[[#This Row],[FUNCT7 or IMM]]="–",,BIN2DEC(TableOpcodes[[#This Row],[FUNCT7 or IMM]]))</f>
        <v>0</v>
      </c>
      <c r="K37" s="25">
        <f>IF(TableOpcodes[[#This Row],[FUNCT3]]="–",,BIN2DEC(TableOpcodes[[#This Row],[FUNCT3]]))</f>
        <v>7</v>
      </c>
      <c r="L37" s="27" t="s">
        <v>192</v>
      </c>
      <c r="M37" s="28" t="s">
        <v>188</v>
      </c>
      <c r="N37" s="25"/>
      <c r="O37" s="30"/>
      <c r="P37" s="30"/>
      <c r="Q37" s="27"/>
    </row>
    <row r="38" spans="1:20" x14ac:dyDescent="0.25">
      <c r="D38" t="s">
        <v>154</v>
      </c>
      <c r="E38" s="3" t="s">
        <v>27</v>
      </c>
      <c r="F38" s="3" t="s">
        <v>193</v>
      </c>
      <c r="G38" s="24" t="s">
        <v>29</v>
      </c>
      <c r="H38" s="3" t="s">
        <v>30</v>
      </c>
      <c r="I38" s="25">
        <f>BIN2DEC(TableOpcodes[[#This Row],[OPCODE]])</f>
        <v>103</v>
      </c>
      <c r="J38" s="25">
        <f>IF(TableOpcodes[[#This Row],[FUNCT7 or IMM]]="–",,BIN2DEC(TableOpcodes[[#This Row],[FUNCT7 or IMM]]))</f>
        <v>0</v>
      </c>
      <c r="K38" s="25">
        <f>IF(TableOpcodes[[#This Row],[FUNCT3]]="–",,BIN2DEC(TableOpcodes[[#This Row],[FUNCT3]]))</f>
        <v>0</v>
      </c>
      <c r="L38" s="27" t="s">
        <v>194</v>
      </c>
      <c r="M38" s="28" t="s">
        <v>195</v>
      </c>
      <c r="N38" s="25"/>
      <c r="O38" s="30"/>
      <c r="Q38" s="27"/>
    </row>
    <row r="39" spans="1:20" hidden="1" x14ac:dyDescent="0.25">
      <c r="D39" t="s">
        <v>147</v>
      </c>
      <c r="E39" s="3" t="s">
        <v>196</v>
      </c>
      <c r="F39" s="3" t="s">
        <v>197</v>
      </c>
      <c r="G39" s="24" t="s">
        <v>30</v>
      </c>
      <c r="H39" s="3" t="s">
        <v>30</v>
      </c>
      <c r="I39" s="25">
        <f>BIN2DEC(TableOpcodes[[#This Row],[OPCODE]])</f>
        <v>111</v>
      </c>
      <c r="J39" s="25">
        <f>IF(TableOpcodes[[#This Row],[FUNCT7 or IMM]]="–",,BIN2DEC(TableOpcodes[[#This Row],[FUNCT7 or IMM]]))</f>
        <v>0</v>
      </c>
      <c r="K39" s="25">
        <f>IF(TableOpcodes[[#This Row],[FUNCT3]]="–",,BIN2DEC(TableOpcodes[[#This Row],[FUNCT3]]))</f>
        <v>0</v>
      </c>
      <c r="L39" s="27" t="s">
        <v>198</v>
      </c>
      <c r="M39" s="28" t="s">
        <v>199</v>
      </c>
      <c r="N39" s="25"/>
      <c r="O39" s="30"/>
      <c r="Q39" s="27"/>
    </row>
    <row r="40" spans="1:20" ht="18" hidden="1" x14ac:dyDescent="0.25">
      <c r="D40" t="s">
        <v>200</v>
      </c>
      <c r="E40" s="3" t="s">
        <v>332</v>
      </c>
      <c r="F40" s="3" t="s">
        <v>28</v>
      </c>
      <c r="G40" s="24" t="s">
        <v>72</v>
      </c>
      <c r="H40" s="3" t="s">
        <v>30</v>
      </c>
      <c r="I40" s="25">
        <f>BIN2DEC(TableOpcodes[[#This Row],[OPCODE]])</f>
        <v>3</v>
      </c>
      <c r="J40" s="25">
        <f>IF(TableOpcodes[[#This Row],[FUNCT7 or IMM]]="–",,BIN2DEC(TableOpcodes[[#This Row],[FUNCT7 or IMM]]))</f>
        <v>0</v>
      </c>
      <c r="K40" s="25">
        <f>IF(TableOpcodes[[#This Row],[FUNCT3]]="–",,BIN2DEC(TableOpcodes[[#This Row],[FUNCT3]]))</f>
        <v>3</v>
      </c>
      <c r="L40" s="27" t="s">
        <v>201</v>
      </c>
      <c r="M40" s="28" t="s">
        <v>202</v>
      </c>
      <c r="N40" s="25"/>
      <c r="Q40" s="27"/>
    </row>
    <row r="41" spans="1:20" ht="18" hidden="1" x14ac:dyDescent="0.25">
      <c r="D41" t="s">
        <v>203</v>
      </c>
      <c r="E41" s="3" t="s">
        <v>332</v>
      </c>
      <c r="F41" s="3" t="s">
        <v>28</v>
      </c>
      <c r="G41" s="24" t="s">
        <v>89</v>
      </c>
      <c r="H41" s="3" t="s">
        <v>30</v>
      </c>
      <c r="I41" s="25">
        <f>BIN2DEC(TableOpcodes[[#This Row],[OPCODE]])</f>
        <v>3</v>
      </c>
      <c r="J41" s="25">
        <f>IF(TableOpcodes[[#This Row],[FUNCT7 or IMM]]="–",,BIN2DEC(TableOpcodes[[#This Row],[FUNCT7 or IMM]]))</f>
        <v>0</v>
      </c>
      <c r="K41" s="25">
        <f>IF(TableOpcodes[[#This Row],[FUNCT3]]="–",,BIN2DEC(TableOpcodes[[#This Row],[FUNCT3]]))</f>
        <v>6</v>
      </c>
      <c r="L41" s="29" t="s">
        <v>204</v>
      </c>
      <c r="M41" s="28" t="s">
        <v>205</v>
      </c>
      <c r="N41" s="25"/>
      <c r="O41" s="30"/>
      <c r="Q41" s="27"/>
    </row>
    <row r="42" spans="1:20" ht="18" hidden="1" x14ac:dyDescent="0.25">
      <c r="D42" t="s">
        <v>206</v>
      </c>
      <c r="E42" s="3" t="s">
        <v>332</v>
      </c>
      <c r="F42" s="3" t="s">
        <v>207</v>
      </c>
      <c r="G42" s="24" t="s">
        <v>29</v>
      </c>
      <c r="H42" s="3" t="s">
        <v>30</v>
      </c>
      <c r="I42" s="25">
        <f>BIN2DEC(TableOpcodes[[#This Row],[OPCODE]])</f>
        <v>27</v>
      </c>
      <c r="J42" s="25">
        <f>IF(TableOpcodes[[#This Row],[FUNCT7 or IMM]]="–",,BIN2DEC(TableOpcodes[[#This Row],[FUNCT7 or IMM]]))</f>
        <v>0</v>
      </c>
      <c r="K42" s="25">
        <f>IF(TableOpcodes[[#This Row],[FUNCT3]]="–",,BIN2DEC(TableOpcodes[[#This Row],[FUNCT3]]))</f>
        <v>0</v>
      </c>
      <c r="L42" s="27" t="s">
        <v>208</v>
      </c>
      <c r="M42" s="28" t="s">
        <v>209</v>
      </c>
      <c r="N42" s="25"/>
      <c r="O42" s="30"/>
      <c r="P42" s="30"/>
      <c r="Q42" s="27"/>
    </row>
    <row r="43" spans="1:20" ht="18" hidden="1" x14ac:dyDescent="0.25">
      <c r="D43" t="s">
        <v>210</v>
      </c>
      <c r="E43" s="3" t="s">
        <v>332</v>
      </c>
      <c r="F43" s="3" t="s">
        <v>207</v>
      </c>
      <c r="G43" s="24" t="s">
        <v>36</v>
      </c>
      <c r="H43" s="3" t="s">
        <v>121</v>
      </c>
      <c r="I43" s="25">
        <f>BIN2DEC(TableOpcodes[[#This Row],[OPCODE]])</f>
        <v>27</v>
      </c>
      <c r="J43" s="25">
        <f>IF(TableOpcodes[[#This Row],[FUNCT7 or IMM]]="–",,BIN2DEC(TableOpcodes[[#This Row],[FUNCT7 or IMM]]))</f>
        <v>0</v>
      </c>
      <c r="K43" s="25">
        <f>IF(TableOpcodes[[#This Row],[FUNCT3]]="–",,BIN2DEC(TableOpcodes[[#This Row],[FUNCT3]]))</f>
        <v>1</v>
      </c>
      <c r="L43" s="27" t="s">
        <v>211</v>
      </c>
      <c r="M43" s="28" t="s">
        <v>212</v>
      </c>
      <c r="N43" s="25"/>
      <c r="O43" s="30"/>
      <c r="P43" s="30"/>
      <c r="Q43" s="27"/>
    </row>
    <row r="44" spans="1:20" ht="18" hidden="1" x14ac:dyDescent="0.25">
      <c r="D44" t="s">
        <v>213</v>
      </c>
      <c r="E44" s="3" t="s">
        <v>332</v>
      </c>
      <c r="F44" s="3" t="s">
        <v>207</v>
      </c>
      <c r="G44" s="24" t="s">
        <v>53</v>
      </c>
      <c r="H44" s="3" t="s">
        <v>121</v>
      </c>
      <c r="I44" s="25">
        <f>BIN2DEC(TableOpcodes[[#This Row],[OPCODE]])</f>
        <v>27</v>
      </c>
      <c r="J44" s="25">
        <f>IF(TableOpcodes[[#This Row],[FUNCT7 or IMM]]="–",,BIN2DEC(TableOpcodes[[#This Row],[FUNCT7 or IMM]]))</f>
        <v>0</v>
      </c>
      <c r="K44" s="25">
        <f>IF(TableOpcodes[[#This Row],[FUNCT3]]="–",,BIN2DEC(TableOpcodes[[#This Row],[FUNCT3]]))</f>
        <v>5</v>
      </c>
      <c r="L44" s="27" t="s">
        <v>214</v>
      </c>
      <c r="M44" s="28" t="s">
        <v>215</v>
      </c>
      <c r="N44" s="25"/>
      <c r="O44" s="30"/>
      <c r="Q44" s="27"/>
    </row>
    <row r="45" spans="1:20" ht="18" hidden="1" x14ac:dyDescent="0.25">
      <c r="D45" t="s">
        <v>216</v>
      </c>
      <c r="E45" s="3" t="s">
        <v>332</v>
      </c>
      <c r="F45" s="3" t="s">
        <v>207</v>
      </c>
      <c r="G45" s="24" t="s">
        <v>53</v>
      </c>
      <c r="H45" s="3" t="s">
        <v>126</v>
      </c>
      <c r="I45" s="25">
        <f>BIN2DEC(TableOpcodes[[#This Row],[OPCODE]])</f>
        <v>27</v>
      </c>
      <c r="J45" s="25">
        <f>IF(TableOpcodes[[#This Row],[FUNCT7 or IMM]]="–",,BIN2DEC(TableOpcodes[[#This Row],[FUNCT7 or IMM]]))</f>
        <v>32</v>
      </c>
      <c r="K45" s="25">
        <f>IF(TableOpcodes[[#This Row],[FUNCT3]]="–",,BIN2DEC(TableOpcodes[[#This Row],[FUNCT3]]))</f>
        <v>5</v>
      </c>
      <c r="L45" s="27" t="s">
        <v>217</v>
      </c>
      <c r="M45" s="28" t="s">
        <v>218</v>
      </c>
      <c r="N45" s="25"/>
      <c r="O45" s="30"/>
      <c r="Q45" s="27"/>
    </row>
    <row r="46" spans="1:20" hidden="1" x14ac:dyDescent="0.25">
      <c r="D46" t="s">
        <v>219</v>
      </c>
      <c r="E46" s="3" t="s">
        <v>367</v>
      </c>
      <c r="F46" s="3" t="s">
        <v>106</v>
      </c>
      <c r="G46" s="24" t="s">
        <v>72</v>
      </c>
      <c r="H46" s="3" t="s">
        <v>30</v>
      </c>
      <c r="I46" s="25">
        <f>BIN2DEC(TableOpcodes[[#This Row],[OPCODE]])</f>
        <v>35</v>
      </c>
      <c r="J46" s="25">
        <f>IF(TableOpcodes[[#This Row],[FUNCT7 or IMM]]="–",,BIN2DEC(TableOpcodes[[#This Row],[FUNCT7 or IMM]]))</f>
        <v>0</v>
      </c>
      <c r="K46" s="25">
        <f>IF(TableOpcodes[[#This Row],[FUNCT3]]="–",,BIN2DEC(TableOpcodes[[#This Row],[FUNCT3]]))</f>
        <v>3</v>
      </c>
      <c r="L46" s="27" t="s">
        <v>220</v>
      </c>
      <c r="M46" s="28"/>
      <c r="N46" s="25"/>
      <c r="O46" s="30"/>
      <c r="Q46" s="27"/>
    </row>
    <row r="47" spans="1:20" ht="18" hidden="1" x14ac:dyDescent="0.25">
      <c r="D47" t="s">
        <v>221</v>
      </c>
      <c r="E47" s="3" t="s">
        <v>303</v>
      </c>
      <c r="F47" s="3" t="s">
        <v>106</v>
      </c>
      <c r="G47" s="24" t="s">
        <v>29</v>
      </c>
      <c r="H47" s="3" t="s">
        <v>121</v>
      </c>
      <c r="I47" s="25">
        <f>BIN2DEC(TableOpcodes[[#This Row],[OPCODE]])</f>
        <v>35</v>
      </c>
      <c r="J47" s="25">
        <f>IF(TableOpcodes[[#This Row],[FUNCT7 or IMM]]="–",,BIN2DEC(TableOpcodes[[#This Row],[FUNCT7 or IMM]]))</f>
        <v>0</v>
      </c>
      <c r="K47" s="25">
        <f>IF(TableOpcodes[[#This Row],[FUNCT3]]="–",,BIN2DEC(TableOpcodes[[#This Row],[FUNCT3]]))</f>
        <v>0</v>
      </c>
      <c r="L47" s="27" t="s">
        <v>222</v>
      </c>
      <c r="M47" s="28" t="s">
        <v>223</v>
      </c>
      <c r="N47" s="25"/>
      <c r="O47" s="30"/>
      <c r="Q47" s="27"/>
    </row>
    <row r="48" spans="1:20" ht="18" hidden="1" x14ac:dyDescent="0.25">
      <c r="D48" t="s">
        <v>224</v>
      </c>
      <c r="E48" s="3" t="s">
        <v>303</v>
      </c>
      <c r="F48" s="3" t="s">
        <v>106</v>
      </c>
      <c r="G48" s="24" t="s">
        <v>29</v>
      </c>
      <c r="H48" s="3" t="s">
        <v>126</v>
      </c>
      <c r="I48" s="25">
        <f>BIN2DEC(TableOpcodes[[#This Row],[OPCODE]])</f>
        <v>35</v>
      </c>
      <c r="J48" s="25">
        <f>IF(TableOpcodes[[#This Row],[FUNCT7 or IMM]]="–",,BIN2DEC(TableOpcodes[[#This Row],[FUNCT7 or IMM]]))</f>
        <v>32</v>
      </c>
      <c r="K48" s="25">
        <f>IF(TableOpcodes[[#This Row],[FUNCT3]]="–",,BIN2DEC(TableOpcodes[[#This Row],[FUNCT3]]))</f>
        <v>0</v>
      </c>
      <c r="L48" s="27" t="s">
        <v>225</v>
      </c>
      <c r="M48" s="28" t="s">
        <v>226</v>
      </c>
      <c r="N48" s="25"/>
      <c r="O48" s="30"/>
      <c r="P48" s="30"/>
      <c r="Q48" s="27"/>
    </row>
    <row r="49" spans="4:17" ht="18" hidden="1" x14ac:dyDescent="0.25">
      <c r="D49" t="s">
        <v>227</v>
      </c>
      <c r="E49" s="3" t="s">
        <v>303</v>
      </c>
      <c r="F49" s="3" t="s">
        <v>106</v>
      </c>
      <c r="G49" s="24" t="s">
        <v>36</v>
      </c>
      <c r="H49" s="3" t="s">
        <v>121</v>
      </c>
      <c r="I49" s="25">
        <f>BIN2DEC(TableOpcodes[[#This Row],[OPCODE]])</f>
        <v>35</v>
      </c>
      <c r="J49" s="25">
        <f>IF(TableOpcodes[[#This Row],[FUNCT7 or IMM]]="–",,BIN2DEC(TableOpcodes[[#This Row],[FUNCT7 or IMM]]))</f>
        <v>0</v>
      </c>
      <c r="K49" s="25">
        <f>IF(TableOpcodes[[#This Row],[FUNCT3]]="–",,BIN2DEC(TableOpcodes[[#This Row],[FUNCT3]]))</f>
        <v>1</v>
      </c>
      <c r="L49" s="27" t="s">
        <v>228</v>
      </c>
      <c r="M49" s="28" t="s">
        <v>229</v>
      </c>
      <c r="N49" s="25"/>
      <c r="O49" s="30"/>
      <c r="P49" s="30"/>
      <c r="Q49" s="27"/>
    </row>
    <row r="50" spans="4:17" ht="18" hidden="1" x14ac:dyDescent="0.25">
      <c r="D50" t="s">
        <v>230</v>
      </c>
      <c r="E50" s="3" t="s">
        <v>303</v>
      </c>
      <c r="F50" s="3" t="s">
        <v>106</v>
      </c>
      <c r="G50" s="24" t="s">
        <v>53</v>
      </c>
      <c r="H50" s="3" t="s">
        <v>121</v>
      </c>
      <c r="I50" s="25">
        <f>BIN2DEC(TableOpcodes[[#This Row],[OPCODE]])</f>
        <v>35</v>
      </c>
      <c r="J50" s="25">
        <f>IF(TableOpcodes[[#This Row],[FUNCT7 or IMM]]="–",,BIN2DEC(TableOpcodes[[#This Row],[FUNCT7 or IMM]]))</f>
        <v>0</v>
      </c>
      <c r="K50" s="25">
        <f>IF(TableOpcodes[[#This Row],[FUNCT3]]="–",,BIN2DEC(TableOpcodes[[#This Row],[FUNCT3]]))</f>
        <v>5</v>
      </c>
      <c r="L50" s="27" t="s">
        <v>231</v>
      </c>
      <c r="M50" s="28" t="s">
        <v>232</v>
      </c>
      <c r="N50" s="25"/>
      <c r="O50" s="30"/>
      <c r="P50" s="30"/>
      <c r="Q50" s="27"/>
    </row>
    <row r="51" spans="4:17" ht="18" hidden="1" x14ac:dyDescent="0.25">
      <c r="D51" t="s">
        <v>233</v>
      </c>
      <c r="E51" s="3" t="s">
        <v>303</v>
      </c>
      <c r="F51" s="3" t="s">
        <v>106</v>
      </c>
      <c r="G51" s="24" t="s">
        <v>53</v>
      </c>
      <c r="H51" s="3" t="s">
        <v>126</v>
      </c>
      <c r="I51" s="25">
        <f>BIN2DEC(TableOpcodes[[#This Row],[OPCODE]])</f>
        <v>35</v>
      </c>
      <c r="J51" s="25">
        <f>IF(TableOpcodes[[#This Row],[FUNCT7 or IMM]]="–",,BIN2DEC(TableOpcodes[[#This Row],[FUNCT7 or IMM]]))</f>
        <v>32</v>
      </c>
      <c r="K51" s="25">
        <f>IF(TableOpcodes[[#This Row],[FUNCT3]]="–",,BIN2DEC(TableOpcodes[[#This Row],[FUNCT3]]))</f>
        <v>5</v>
      </c>
      <c r="L51" s="27" t="s">
        <v>234</v>
      </c>
      <c r="M51" s="28" t="s">
        <v>235</v>
      </c>
      <c r="N51" s="25"/>
      <c r="O51" s="30"/>
      <c r="P51" s="30"/>
      <c r="Q51" s="22"/>
    </row>
    <row r="53" spans="4:17" x14ac:dyDescent="0.25">
      <c r="D53" t="s">
        <v>386</v>
      </c>
    </row>
    <row r="54" spans="4:17" x14ac:dyDescent="0.25">
      <c r="D54" t="s">
        <v>309</v>
      </c>
    </row>
    <row r="55" spans="4:17" x14ac:dyDescent="0.25">
      <c r="D55" s="215" t="s">
        <v>13</v>
      </c>
      <c r="E55" s="219" t="s">
        <v>11</v>
      </c>
      <c r="F55" s="217" t="s">
        <v>329</v>
      </c>
      <c r="G55" s="168" t="s">
        <v>8</v>
      </c>
      <c r="I55" s="215" t="s">
        <v>13</v>
      </c>
      <c r="J55" s="320" t="s">
        <v>15</v>
      </c>
      <c r="K55" s="320" t="s">
        <v>14</v>
      </c>
      <c r="L55" s="168" t="s">
        <v>8</v>
      </c>
    </row>
    <row r="56" spans="4:17" x14ac:dyDescent="0.25">
      <c r="D56" s="216">
        <v>51</v>
      </c>
      <c r="E56" s="220">
        <v>0</v>
      </c>
      <c r="F56" s="218">
        <v>0</v>
      </c>
      <c r="G56" s="167" t="s">
        <v>118</v>
      </c>
      <c r="I56" s="321">
        <v>3</v>
      </c>
      <c r="J56" s="318">
        <v>0</v>
      </c>
      <c r="K56" s="318">
        <v>0</v>
      </c>
      <c r="L56" s="167" t="s">
        <v>26</v>
      </c>
    </row>
    <row r="57" spans="4:17" x14ac:dyDescent="0.25">
      <c r="D57" s="216">
        <v>51</v>
      </c>
      <c r="E57" s="220">
        <v>0</v>
      </c>
      <c r="F57" s="218">
        <v>32</v>
      </c>
      <c r="G57" s="167" t="s">
        <v>125</v>
      </c>
      <c r="I57" s="321">
        <v>3</v>
      </c>
      <c r="J57" s="318">
        <v>1</v>
      </c>
      <c r="K57" s="318">
        <v>0</v>
      </c>
      <c r="L57" s="167" t="s">
        <v>35</v>
      </c>
    </row>
    <row r="58" spans="4:17" x14ac:dyDescent="0.25">
      <c r="D58" s="216">
        <v>51</v>
      </c>
      <c r="E58" s="220">
        <v>1</v>
      </c>
      <c r="F58" s="218">
        <v>0</v>
      </c>
      <c r="G58" s="167" t="s">
        <v>130</v>
      </c>
      <c r="I58" s="321">
        <v>3</v>
      </c>
      <c r="J58" s="318">
        <v>2</v>
      </c>
      <c r="K58" s="318">
        <v>0</v>
      </c>
      <c r="L58" s="167" t="s">
        <v>41</v>
      </c>
    </row>
    <row r="59" spans="4:17" x14ac:dyDescent="0.25">
      <c r="D59" s="216">
        <v>51</v>
      </c>
      <c r="E59" s="220">
        <v>2</v>
      </c>
      <c r="F59" s="218">
        <v>0</v>
      </c>
      <c r="G59" s="167" t="s">
        <v>134</v>
      </c>
      <c r="I59" s="321">
        <v>3</v>
      </c>
      <c r="J59" s="318">
        <v>4</v>
      </c>
      <c r="K59" s="318">
        <v>0</v>
      </c>
      <c r="L59" s="167" t="s">
        <v>46</v>
      </c>
    </row>
    <row r="60" spans="4:17" x14ac:dyDescent="0.25">
      <c r="D60" s="216">
        <v>51</v>
      </c>
      <c r="E60" s="220">
        <v>3</v>
      </c>
      <c r="F60" s="218">
        <v>0</v>
      </c>
      <c r="G60" s="167" t="s">
        <v>138</v>
      </c>
      <c r="I60" s="321">
        <v>3</v>
      </c>
      <c r="J60" s="318">
        <v>5</v>
      </c>
      <c r="K60" s="318">
        <v>0</v>
      </c>
      <c r="L60" s="167" t="s">
        <v>52</v>
      </c>
    </row>
    <row r="61" spans="4:17" x14ac:dyDescent="0.25">
      <c r="D61" s="216">
        <v>51</v>
      </c>
      <c r="E61" s="220">
        <v>4</v>
      </c>
      <c r="F61" s="218">
        <v>0</v>
      </c>
      <c r="G61" s="167" t="s">
        <v>144</v>
      </c>
      <c r="I61" s="321">
        <v>19</v>
      </c>
      <c r="J61" s="318">
        <v>0</v>
      </c>
      <c r="K61" s="318">
        <v>0</v>
      </c>
      <c r="L61" s="167" t="s">
        <v>57</v>
      </c>
    </row>
    <row r="62" spans="4:17" x14ac:dyDescent="0.25">
      <c r="D62" s="216">
        <v>51</v>
      </c>
      <c r="E62" s="220">
        <v>5</v>
      </c>
      <c r="F62" s="218">
        <v>0</v>
      </c>
      <c r="G62" s="167" t="s">
        <v>151</v>
      </c>
      <c r="I62" s="321">
        <v>19</v>
      </c>
      <c r="J62" s="318">
        <v>1</v>
      </c>
      <c r="K62" s="318" t="e">
        <v>#NUM!</v>
      </c>
      <c r="L62" s="167" t="s">
        <v>62</v>
      </c>
    </row>
    <row r="63" spans="4:17" x14ac:dyDescent="0.25">
      <c r="D63" s="216">
        <v>51</v>
      </c>
      <c r="E63" s="220">
        <v>5</v>
      </c>
      <c r="F63" s="218">
        <v>32</v>
      </c>
      <c r="G63" s="167" t="s">
        <v>157</v>
      </c>
      <c r="I63" s="321">
        <v>19</v>
      </c>
      <c r="J63" s="318">
        <v>2</v>
      </c>
      <c r="K63" s="318">
        <v>0</v>
      </c>
      <c r="L63" s="167" t="s">
        <v>67</v>
      </c>
    </row>
    <row r="64" spans="4:17" x14ac:dyDescent="0.25">
      <c r="D64" s="216">
        <v>51</v>
      </c>
      <c r="E64" s="220">
        <v>6</v>
      </c>
      <c r="F64" s="218">
        <v>0</v>
      </c>
      <c r="G64" s="167" t="s">
        <v>161</v>
      </c>
      <c r="I64" s="321">
        <v>19</v>
      </c>
      <c r="J64" s="318">
        <v>3</v>
      </c>
      <c r="K64" s="318">
        <v>0</v>
      </c>
      <c r="L64" s="167" t="s">
        <v>71</v>
      </c>
    </row>
    <row r="65" spans="4:12" x14ac:dyDescent="0.25">
      <c r="D65" s="216">
        <v>51</v>
      </c>
      <c r="E65" s="220">
        <v>7</v>
      </c>
      <c r="F65" s="218">
        <v>0</v>
      </c>
      <c r="G65" s="167" t="s">
        <v>165</v>
      </c>
      <c r="I65" s="321">
        <v>19</v>
      </c>
      <c r="J65" s="318">
        <v>4</v>
      </c>
      <c r="K65" s="318">
        <v>0</v>
      </c>
      <c r="L65" s="167" t="s">
        <v>75</v>
      </c>
    </row>
    <row r="66" spans="4:12" x14ac:dyDescent="0.25">
      <c r="I66" s="321">
        <v>19</v>
      </c>
      <c r="J66" s="318">
        <v>5</v>
      </c>
      <c r="K66" s="318" t="e">
        <v>#NUM!</v>
      </c>
      <c r="L66" s="167" t="s">
        <v>79</v>
      </c>
    </row>
    <row r="67" spans="4:12" x14ac:dyDescent="0.25">
      <c r="I67" s="321">
        <v>19</v>
      </c>
      <c r="J67" s="318">
        <v>5</v>
      </c>
      <c r="K67" s="318" t="e">
        <v>#NUM!</v>
      </c>
      <c r="L67" s="167" t="s">
        <v>83</v>
      </c>
    </row>
    <row r="68" spans="4:12" x14ac:dyDescent="0.25">
      <c r="I68" s="321">
        <v>19</v>
      </c>
      <c r="J68" s="318">
        <v>6</v>
      </c>
      <c r="K68" s="318">
        <v>0</v>
      </c>
      <c r="L68" s="167" t="s">
        <v>88</v>
      </c>
    </row>
    <row r="69" spans="4:12" x14ac:dyDescent="0.25">
      <c r="I69" s="321">
        <v>19</v>
      </c>
      <c r="J69" s="318">
        <v>7</v>
      </c>
      <c r="K69" s="318">
        <v>0</v>
      </c>
      <c r="L69" s="167" t="s">
        <v>93</v>
      </c>
    </row>
    <row r="70" spans="4:12" x14ac:dyDescent="0.25">
      <c r="I70" s="322">
        <v>103</v>
      </c>
      <c r="J70" s="319">
        <v>0</v>
      </c>
      <c r="K70" s="319">
        <v>0</v>
      </c>
      <c r="L70" s="313" t="s">
        <v>154</v>
      </c>
    </row>
  </sheetData>
  <mergeCells count="1">
    <mergeCell ref="R26:R27"/>
  </mergeCells>
  <phoneticPr fontId="9" type="noConversion"/>
  <pageMargins left="0.7" right="0.7" top="0.75" bottom="0.75" header="0.3" footer="0.3"/>
  <pageSetup orientation="portrait" r:id="rId1"/>
  <ignoredErrors>
    <ignoredError sqref="G3:G51 F3:F33 F35:F51" numberStoredAsText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7D172-5337-4208-9DE2-A06606C4436C}">
  <dimension ref="F2:H23"/>
  <sheetViews>
    <sheetView topLeftCell="A4" zoomScale="160" zoomScaleNormal="160" workbookViewId="0">
      <selection activeCell="F15" sqref="F15"/>
    </sheetView>
  </sheetViews>
  <sheetFormatPr defaultRowHeight="15" x14ac:dyDescent="0.25"/>
  <cols>
    <col min="6" max="6" width="14.42578125" customWidth="1"/>
  </cols>
  <sheetData>
    <row r="2" spans="6:8" x14ac:dyDescent="0.25">
      <c r="F2" t="s">
        <v>441</v>
      </c>
    </row>
    <row r="3" spans="6:8" x14ac:dyDescent="0.25">
      <c r="F3" s="421" t="s">
        <v>140</v>
      </c>
      <c r="G3" t="s">
        <v>450</v>
      </c>
    </row>
    <row r="4" spans="6:8" x14ac:dyDescent="0.25">
      <c r="F4" s="421" t="s">
        <v>140</v>
      </c>
    </row>
    <row r="5" spans="6:8" x14ac:dyDescent="0.25">
      <c r="F5" s="421" t="s">
        <v>442</v>
      </c>
      <c r="G5" t="s">
        <v>443</v>
      </c>
      <c r="H5" t="s">
        <v>444</v>
      </c>
    </row>
    <row r="6" spans="6:8" x14ac:dyDescent="0.25">
      <c r="F6" s="421" t="s">
        <v>445</v>
      </c>
      <c r="H6" t="s">
        <v>446</v>
      </c>
    </row>
    <row r="7" spans="6:8" x14ac:dyDescent="0.25">
      <c r="F7" s="421"/>
    </row>
    <row r="8" spans="6:8" x14ac:dyDescent="0.25">
      <c r="F8" s="421"/>
    </row>
    <row r="9" spans="6:8" x14ac:dyDescent="0.25">
      <c r="F9" s="386"/>
    </row>
    <row r="10" spans="6:8" x14ac:dyDescent="0.25">
      <c r="F10" s="386"/>
    </row>
    <row r="11" spans="6:8" x14ac:dyDescent="0.25">
      <c r="F11" s="386"/>
    </row>
    <row r="12" spans="6:8" x14ac:dyDescent="0.25">
      <c r="F12" s="386" t="s">
        <v>447</v>
      </c>
      <c r="G12" t="s">
        <v>449</v>
      </c>
    </row>
    <row r="13" spans="6:8" x14ac:dyDescent="0.25">
      <c r="F13" s="386" t="s">
        <v>448</v>
      </c>
    </row>
    <row r="14" spans="6:8" x14ac:dyDescent="0.25">
      <c r="F14" s="386"/>
    </row>
    <row r="15" spans="6:8" x14ac:dyDescent="0.25">
      <c r="F15" s="386"/>
    </row>
    <row r="16" spans="6:8" x14ac:dyDescent="0.25">
      <c r="F16" s="386"/>
    </row>
    <row r="17" spans="6:6" x14ac:dyDescent="0.25">
      <c r="F17" s="386"/>
    </row>
    <row r="18" spans="6:6" x14ac:dyDescent="0.25">
      <c r="F18" s="386"/>
    </row>
    <row r="19" spans="6:6" x14ac:dyDescent="0.25">
      <c r="F19" s="386"/>
    </row>
    <row r="20" spans="6:6" x14ac:dyDescent="0.25">
      <c r="F20" s="386"/>
    </row>
    <row r="21" spans="6:6" x14ac:dyDescent="0.25">
      <c r="F21" s="386"/>
    </row>
    <row r="22" spans="6:6" x14ac:dyDescent="0.25">
      <c r="F22" s="386"/>
    </row>
    <row r="23" spans="6:6" x14ac:dyDescent="0.25">
      <c r="F23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3023-5A1D-4FE4-9BCA-FBB391101EA4}">
  <sheetPr codeName="Sheet1"/>
  <dimension ref="A1:AO89"/>
  <sheetViews>
    <sheetView tabSelected="1" topLeftCell="E41" zoomScale="205" zoomScaleNormal="205" workbookViewId="0">
      <selection activeCell="AI45" sqref="AI45"/>
    </sheetView>
  </sheetViews>
  <sheetFormatPr defaultColWidth="2.7109375" defaultRowHeight="15" x14ac:dyDescent="0.25"/>
  <cols>
    <col min="4" max="4" width="2.85546875" customWidth="1"/>
    <col min="8" max="39" width="2.7109375" customWidth="1"/>
  </cols>
  <sheetData>
    <row r="1" spans="1:40" x14ac:dyDescent="0.25">
      <c r="A1" s="92" t="s">
        <v>236</v>
      </c>
      <c r="B1" s="93"/>
      <c r="C1" s="93"/>
      <c r="E1" s="92" t="s">
        <v>237</v>
      </c>
      <c r="F1" s="92"/>
      <c r="G1" s="92"/>
      <c r="I1" s="92" t="s">
        <v>238</v>
      </c>
      <c r="J1" s="92"/>
      <c r="K1" s="92"/>
      <c r="M1" s="92" t="s">
        <v>239</v>
      </c>
      <c r="N1" s="92"/>
      <c r="O1" s="92"/>
      <c r="Q1" s="92" t="s">
        <v>240</v>
      </c>
      <c r="R1" s="92"/>
      <c r="S1" s="92"/>
      <c r="U1" s="92" t="s">
        <v>241</v>
      </c>
      <c r="V1" s="92"/>
      <c r="W1" s="92"/>
    </row>
    <row r="3" spans="1:40" ht="15.75" thickBot="1" x14ac:dyDescent="0.3">
      <c r="O3" s="33"/>
      <c r="P3" s="33"/>
      <c r="Q3" s="33"/>
      <c r="R3" s="62" t="s">
        <v>242</v>
      </c>
      <c r="S3" s="33"/>
      <c r="T3" s="62" t="s">
        <v>243</v>
      </c>
      <c r="V3" s="32"/>
      <c r="W3" t="s">
        <v>244</v>
      </c>
      <c r="Y3" s="31"/>
      <c r="AB3" s="424" t="str">
        <f>BIN2HEX(AB4&amp;AC4&amp;AD4&amp;AE4,1)</f>
        <v>0</v>
      </c>
      <c r="AC3" s="425"/>
      <c r="AD3" s="425"/>
      <c r="AE3" s="425"/>
      <c r="AF3" s="426" t="str">
        <f>BIN2HEX(AF4&amp;AG4&amp;AH4&amp;AI4,1)</f>
        <v>0</v>
      </c>
      <c r="AG3" s="427"/>
      <c r="AH3" s="427"/>
      <c r="AI3" s="427"/>
      <c r="AJ3" s="426" t="str">
        <f>BIN2HEX(AJ4&amp;AK4&amp;AL4&amp;AM4,1)</f>
        <v>9</v>
      </c>
      <c r="AK3" s="427"/>
      <c r="AL3" s="427"/>
      <c r="AM3" s="428"/>
    </row>
    <row r="4" spans="1:40" ht="15.75" thickBot="1" x14ac:dyDescent="0.3">
      <c r="G4" t="s">
        <v>245</v>
      </c>
      <c r="O4" s="435" t="s">
        <v>41</v>
      </c>
      <c r="P4" s="436"/>
      <c r="Q4" s="437"/>
      <c r="R4" s="443" t="s">
        <v>70</v>
      </c>
      <c r="S4" s="445"/>
      <c r="T4" s="432" t="s">
        <v>61</v>
      </c>
      <c r="U4" s="433"/>
      <c r="V4" s="454">
        <v>9</v>
      </c>
      <c r="W4" s="455"/>
      <c r="X4" s="456"/>
      <c r="Y4" s="75" t="s">
        <v>246</v>
      </c>
      <c r="Z4" s="74"/>
      <c r="AB4" s="69" t="str" cm="1">
        <f t="array" ref="AB4:AM4">MID(MyHex2Bin(asm_imm,12),_xlfn.SEQUENCE(1,12),1)</f>
        <v>0</v>
      </c>
      <c r="AC4" s="140" t="str">
        <v>0</v>
      </c>
      <c r="AD4" s="141" t="str">
        <v>0</v>
      </c>
      <c r="AE4" s="141" t="str">
        <v>0</v>
      </c>
      <c r="AF4" s="142" t="str">
        <v>0</v>
      </c>
      <c r="AG4" s="142" t="str">
        <v>0</v>
      </c>
      <c r="AH4" s="142" t="str">
        <v>0</v>
      </c>
      <c r="AI4" s="142" t="str">
        <v>0</v>
      </c>
      <c r="AJ4" s="143" t="str">
        <v>1</v>
      </c>
      <c r="AK4" s="143" t="str">
        <v>0</v>
      </c>
      <c r="AL4" s="143" t="str">
        <v>0</v>
      </c>
      <c r="AM4" s="143" t="str">
        <v>1</v>
      </c>
    </row>
    <row r="5" spans="1:40" ht="20.25" thickBot="1" x14ac:dyDescent="0.35">
      <c r="D5" s="126" t="s">
        <v>27</v>
      </c>
      <c r="E5" s="1" t="s">
        <v>247</v>
      </c>
      <c r="H5" s="2" cm="1">
        <f t="array" ref="H5:AM5">_xlfn.SEQUENCE(1,32,31,-1)</f>
        <v>31</v>
      </c>
      <c r="I5" s="2">
        <v>30</v>
      </c>
      <c r="J5" s="2">
        <v>29</v>
      </c>
      <c r="K5" s="2">
        <v>28</v>
      </c>
      <c r="L5" s="2">
        <v>27</v>
      </c>
      <c r="M5" s="2">
        <v>26</v>
      </c>
      <c r="N5" s="2">
        <v>25</v>
      </c>
      <c r="O5" s="2">
        <v>24</v>
      </c>
      <c r="P5" s="2">
        <v>23</v>
      </c>
      <c r="Q5" s="2">
        <v>22</v>
      </c>
      <c r="R5" s="2">
        <v>21</v>
      </c>
      <c r="S5" s="2">
        <v>20</v>
      </c>
      <c r="T5" s="2">
        <v>19</v>
      </c>
      <c r="U5" s="2">
        <v>18</v>
      </c>
      <c r="V5" s="2">
        <v>17</v>
      </c>
      <c r="W5" s="2">
        <v>16</v>
      </c>
      <c r="X5" s="2">
        <v>15</v>
      </c>
      <c r="Y5" s="2">
        <v>14</v>
      </c>
      <c r="Z5" s="2">
        <v>13</v>
      </c>
      <c r="AA5" s="2">
        <v>12</v>
      </c>
      <c r="AB5" s="2">
        <v>11</v>
      </c>
      <c r="AC5" s="2">
        <v>10</v>
      </c>
      <c r="AD5" s="2">
        <v>9</v>
      </c>
      <c r="AE5" s="2">
        <v>8</v>
      </c>
      <c r="AF5" s="2">
        <v>7</v>
      </c>
      <c r="AG5" s="2">
        <v>6</v>
      </c>
      <c r="AH5" s="2">
        <v>5</v>
      </c>
      <c r="AI5" s="2">
        <v>4</v>
      </c>
      <c r="AJ5" s="2">
        <v>3</v>
      </c>
      <c r="AK5" s="2">
        <v>2</v>
      </c>
      <c r="AL5" s="2">
        <v>1</v>
      </c>
      <c r="AM5" s="2">
        <v>0</v>
      </c>
    </row>
    <row r="6" spans="1:40" ht="16.5" thickTop="1" thickBot="1" x14ac:dyDescent="0.3">
      <c r="C6" s="1"/>
      <c r="D6" s="1"/>
      <c r="E6" s="1"/>
      <c r="H6" s="449" t="s">
        <v>248</v>
      </c>
      <c r="I6" s="449"/>
      <c r="J6" s="449"/>
      <c r="K6" s="449"/>
      <c r="L6" s="449"/>
      <c r="M6" s="449"/>
      <c r="N6" s="449"/>
      <c r="O6" s="449"/>
      <c r="P6" s="449"/>
      <c r="Q6" s="449"/>
      <c r="R6" s="449"/>
      <c r="S6" s="449"/>
      <c r="T6" s="449" t="s">
        <v>243</v>
      </c>
      <c r="U6" s="449"/>
      <c r="V6" s="449"/>
      <c r="W6" s="449"/>
      <c r="X6" s="449"/>
      <c r="Y6" s="449" t="s">
        <v>249</v>
      </c>
      <c r="Z6" s="449"/>
      <c r="AA6" s="449"/>
      <c r="AB6" s="449" t="s">
        <v>242</v>
      </c>
      <c r="AC6" s="449"/>
      <c r="AD6" s="449"/>
      <c r="AE6" s="449"/>
      <c r="AF6" s="449"/>
      <c r="AG6" s="449" t="s">
        <v>50</v>
      </c>
      <c r="AH6" s="449"/>
      <c r="AI6" s="449"/>
      <c r="AJ6" s="449"/>
      <c r="AK6" s="449"/>
      <c r="AL6" s="449"/>
      <c r="AM6" s="449"/>
    </row>
    <row r="7" spans="1:40" ht="15.75" thickBot="1" x14ac:dyDescent="0.3">
      <c r="C7" s="1"/>
      <c r="D7" s="1"/>
      <c r="E7" s="1"/>
      <c r="G7" s="19" t="s">
        <v>250</v>
      </c>
      <c r="H7" s="451">
        <f>asm_imm</f>
        <v>9</v>
      </c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3"/>
      <c r="T7" s="432" t="str">
        <f>asm_src</f>
        <v>t2</v>
      </c>
      <c r="U7" s="433"/>
      <c r="V7" s="433"/>
      <c r="W7" s="433"/>
      <c r="X7" s="434"/>
      <c r="Y7" s="435" t="str">
        <f>asm_operator</f>
        <v>lw</v>
      </c>
      <c r="Z7" s="436"/>
      <c r="AA7" s="437"/>
      <c r="AB7" s="443" t="str">
        <f>asm_des</f>
        <v>s1</v>
      </c>
      <c r="AC7" s="444"/>
      <c r="AD7" s="444"/>
      <c r="AE7" s="444"/>
      <c r="AF7" s="445"/>
      <c r="AG7" s="435" t="str">
        <f>asm_operator</f>
        <v>lw</v>
      </c>
      <c r="AH7" s="436"/>
      <c r="AI7" s="436"/>
      <c r="AJ7" s="436"/>
      <c r="AK7" s="436"/>
      <c r="AL7" s="436"/>
      <c r="AM7" s="437"/>
    </row>
    <row r="8" spans="1:40" ht="15.75" thickBot="1" x14ac:dyDescent="0.3">
      <c r="C8" s="1"/>
      <c r="D8" s="1"/>
      <c r="E8" s="1"/>
      <c r="G8" s="19" t="s">
        <v>251</v>
      </c>
      <c r="H8" s="451">
        <f>H7</f>
        <v>9</v>
      </c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3"/>
      <c r="T8" s="432">
        <f>VLOOKUP(T7,TableRegisters[],2,FALSE)</f>
        <v>7</v>
      </c>
      <c r="U8" s="433"/>
      <c r="V8" s="433"/>
      <c r="W8" s="433"/>
      <c r="X8" s="434"/>
      <c r="Y8" s="435">
        <f>VLOOKUP(Y7,TableOpcodes[],COL_FUNCT3,FALSE)</f>
        <v>2</v>
      </c>
      <c r="Z8" s="436"/>
      <c r="AA8" s="437"/>
      <c r="AB8" s="443">
        <f>VLOOKUP(AB7,TableRegisters[],2,FALSE)</f>
        <v>9</v>
      </c>
      <c r="AC8" s="444"/>
      <c r="AD8" s="444"/>
      <c r="AE8" s="444"/>
      <c r="AF8" s="445"/>
      <c r="AG8" s="435">
        <f>VLOOKUP(AG7,TableOpcodes[],COL_OPCODE,FALSE)</f>
        <v>3</v>
      </c>
      <c r="AH8" s="436"/>
      <c r="AI8" s="436"/>
      <c r="AJ8" s="436"/>
      <c r="AK8" s="436"/>
      <c r="AL8" s="436"/>
      <c r="AM8" s="437"/>
    </row>
    <row r="9" spans="1:40" ht="15.75" thickBot="1" x14ac:dyDescent="0.3">
      <c r="G9" s="19" t="s">
        <v>252</v>
      </c>
      <c r="H9" s="68" t="str" cm="1">
        <f t="array" ref="H9:S9">MID(MyHex2Bin(asm_imm,12),_xlfn.SEQUENCE(1,12),1)</f>
        <v>0</v>
      </c>
      <c r="I9" s="34" t="str">
        <v>0</v>
      </c>
      <c r="J9" s="34" t="str">
        <v>0</v>
      </c>
      <c r="K9" s="34" t="str">
        <v>0</v>
      </c>
      <c r="L9" s="35" t="str">
        <v>0</v>
      </c>
      <c r="M9" s="35" t="str">
        <v>0</v>
      </c>
      <c r="N9" s="35" t="str">
        <v>0</v>
      </c>
      <c r="O9" s="35" t="str">
        <v>0</v>
      </c>
      <c r="P9" s="36" t="str">
        <v>1</v>
      </c>
      <c r="Q9" s="36" t="str">
        <v>0</v>
      </c>
      <c r="R9" s="36" t="str">
        <v>0</v>
      </c>
      <c r="S9" s="37" t="str">
        <v>1</v>
      </c>
      <c r="T9" s="44" t="str" cm="1">
        <f t="array" ref="T9:X9">MID(DEC2BIN(T8,5),_xlfn.SEQUENCE(1,5),1)</f>
        <v>0</v>
      </c>
      <c r="U9" s="45" t="str">
        <v>0</v>
      </c>
      <c r="V9" s="45" t="str">
        <v>1</v>
      </c>
      <c r="W9" s="45" t="str">
        <v>1</v>
      </c>
      <c r="X9" s="46" t="str">
        <v>1</v>
      </c>
      <c r="Y9" s="38" t="str" cm="1">
        <f t="array" ref="Y9:AA9">MID(DEC2BIN(Y8,3),_xlfn.SEQUENCE(1,3),1)</f>
        <v>0</v>
      </c>
      <c r="Z9" s="39" t="str">
        <v>1</v>
      </c>
      <c r="AA9" s="40" t="str">
        <v>0</v>
      </c>
      <c r="AB9" s="41" t="str" cm="1">
        <f t="array" ref="AB9:AF9">MID(DEC2BIN(AB8,5),_xlfn.SEQUENCE(1,5),1)</f>
        <v>0</v>
      </c>
      <c r="AC9" s="42" t="str">
        <v>1</v>
      </c>
      <c r="AD9" s="42" t="str">
        <v>0</v>
      </c>
      <c r="AE9" s="42" t="str">
        <v>0</v>
      </c>
      <c r="AF9" s="43" t="str">
        <v>1</v>
      </c>
      <c r="AG9" s="38" t="str" cm="1">
        <f t="array" ref="AG9:AM9">MID(DEC2BIN(AG8,7),_xlfn.SEQUENCE(1,7),1)</f>
        <v>0</v>
      </c>
      <c r="AH9" s="39" t="str">
        <v>0</v>
      </c>
      <c r="AI9" s="39" t="str">
        <v>0</v>
      </c>
      <c r="AJ9" s="39" t="str">
        <v>0</v>
      </c>
      <c r="AK9" s="39" t="str">
        <v>0</v>
      </c>
      <c r="AL9" s="39" t="str">
        <v>1</v>
      </c>
      <c r="AM9" s="40" t="str">
        <v>1</v>
      </c>
    </row>
    <row r="10" spans="1:40" ht="15.75" thickBot="1" x14ac:dyDescent="0.3">
      <c r="G10" s="19" t="s">
        <v>253</v>
      </c>
      <c r="H10" s="438" t="str">
        <f>BIN2HEX(H9&amp;I9&amp;J9&amp;K9,1)</f>
        <v>0</v>
      </c>
      <c r="I10" s="439"/>
      <c r="J10" s="439"/>
      <c r="K10" s="439"/>
      <c r="L10" s="438" t="str">
        <f>BIN2HEX(L9&amp;M9&amp;N9&amp;O9,1)</f>
        <v>0</v>
      </c>
      <c r="M10" s="439"/>
      <c r="N10" s="439"/>
      <c r="O10" s="439"/>
      <c r="P10" s="438" t="str">
        <f>BIN2HEX(P9&amp;Q9&amp;R9&amp;S9,1)</f>
        <v>9</v>
      </c>
      <c r="Q10" s="439"/>
      <c r="R10" s="439"/>
      <c r="S10" s="439"/>
      <c r="T10" s="438" t="str">
        <f>BIN2HEX(T9&amp;U9&amp;V9&amp;W9,1)</f>
        <v>3</v>
      </c>
      <c r="U10" s="439"/>
      <c r="V10" s="439"/>
      <c r="W10" s="439"/>
      <c r="X10" s="438" t="str">
        <f>BIN2HEX(X9&amp;Y9&amp;Z9&amp;AA9,1)</f>
        <v>A</v>
      </c>
      <c r="Y10" s="439"/>
      <c r="Z10" s="439"/>
      <c r="AA10" s="439"/>
      <c r="AB10" s="438" t="str">
        <f>BIN2HEX(AB9&amp;AC9&amp;AD9&amp;AE9,1)</f>
        <v>4</v>
      </c>
      <c r="AC10" s="439"/>
      <c r="AD10" s="439"/>
      <c r="AE10" s="439"/>
      <c r="AF10" s="438" t="str">
        <f>BIN2HEX(AF9&amp;AG9&amp;AH9&amp;AI9,1)</f>
        <v>8</v>
      </c>
      <c r="AG10" s="439"/>
      <c r="AH10" s="439"/>
      <c r="AI10" s="439"/>
      <c r="AJ10" s="438" t="str">
        <f>BIN2HEX(AJ9&amp;AK9&amp;AL9&amp;AM9,1)</f>
        <v>3</v>
      </c>
      <c r="AK10" s="439"/>
      <c r="AL10" s="439"/>
      <c r="AM10" s="439"/>
      <c r="AN10" s="31"/>
    </row>
    <row r="11" spans="1:40" ht="15.75" thickBot="1" x14ac:dyDescent="0.3"/>
    <row r="12" spans="1:40" ht="15.75" thickBot="1" x14ac:dyDescent="0.3">
      <c r="G12" s="509" t="s">
        <v>454</v>
      </c>
      <c r="H12" s="521" t="s">
        <v>272</v>
      </c>
      <c r="I12" s="522"/>
      <c r="J12" s="522"/>
      <c r="K12" s="522"/>
      <c r="L12" s="522"/>
      <c r="M12" s="522"/>
      <c r="N12" s="523"/>
      <c r="O12" s="524" t="s">
        <v>266</v>
      </c>
      <c r="P12" s="525"/>
      <c r="Q12" s="525"/>
      <c r="R12" s="525"/>
      <c r="S12" s="526"/>
      <c r="T12" s="512" t="s">
        <v>243</v>
      </c>
      <c r="U12" s="513"/>
      <c r="V12" s="513"/>
      <c r="W12" s="513"/>
      <c r="X12" s="514"/>
      <c r="Y12" s="515" t="s">
        <v>249</v>
      </c>
      <c r="Z12" s="516"/>
      <c r="AA12" s="516"/>
      <c r="AB12" s="517" t="s">
        <v>242</v>
      </c>
      <c r="AC12" s="518"/>
      <c r="AD12" s="518"/>
      <c r="AE12" s="518"/>
      <c r="AF12" s="519"/>
      <c r="AG12" s="516" t="s">
        <v>50</v>
      </c>
      <c r="AH12" s="516"/>
      <c r="AI12" s="516"/>
      <c r="AJ12" s="516"/>
      <c r="AK12" s="516"/>
      <c r="AL12" s="516"/>
      <c r="AM12" s="520"/>
    </row>
    <row r="15" spans="1:40" ht="15.75" thickBot="1" x14ac:dyDescent="0.3">
      <c r="G15" s="78"/>
      <c r="O15" s="33"/>
      <c r="P15" s="33"/>
      <c r="Q15" s="33"/>
      <c r="R15" s="62" t="s">
        <v>242</v>
      </c>
      <c r="S15" s="33"/>
      <c r="T15" s="461" t="s">
        <v>254</v>
      </c>
      <c r="U15" s="462"/>
      <c r="V15" s="462"/>
      <c r="W15" s="462"/>
      <c r="X15" s="463"/>
      <c r="Y15" s="31"/>
      <c r="AD15" s="121"/>
      <c r="AE15" s="121"/>
      <c r="AF15" s="121"/>
      <c r="AG15" s="121"/>
      <c r="AH15" s="121"/>
      <c r="AI15" s="121"/>
      <c r="AJ15" s="121"/>
      <c r="AK15" s="121"/>
    </row>
    <row r="16" spans="1:40" ht="15.75" thickBot="1" x14ac:dyDescent="0.3">
      <c r="G16" t="s">
        <v>245</v>
      </c>
      <c r="O16" s="435" t="s">
        <v>169</v>
      </c>
      <c r="P16" s="436"/>
      <c r="Q16" s="437"/>
      <c r="R16" s="443" t="s">
        <v>82</v>
      </c>
      <c r="S16" s="445"/>
      <c r="T16" s="454" t="s">
        <v>255</v>
      </c>
      <c r="U16" s="455"/>
      <c r="V16" s="455"/>
      <c r="W16" s="455"/>
      <c r="X16" s="456"/>
      <c r="Y16" s="75" t="s">
        <v>246</v>
      </c>
      <c r="Z16" s="74"/>
      <c r="AB16" s="115" t="s">
        <v>242</v>
      </c>
      <c r="AC16" s="116" t="s">
        <v>256</v>
      </c>
      <c r="AD16" s="457" t="str">
        <f>R16</f>
        <v>a2</v>
      </c>
      <c r="AE16" s="457"/>
      <c r="AF16" s="116" t="s">
        <v>256</v>
      </c>
      <c r="AG16" s="460" t="str">
        <f>T16 &amp; "000"</f>
        <v>0xAFFFC000</v>
      </c>
      <c r="AH16" s="460"/>
      <c r="AI16" s="460"/>
      <c r="AJ16" s="460"/>
      <c r="AK16" s="460"/>
      <c r="AL16" s="116" t="str">
        <f>IF(O16="auipc","+ PC","")</f>
        <v/>
      </c>
      <c r="AM16" s="120"/>
    </row>
    <row r="17" spans="1:39" x14ac:dyDescent="0.25">
      <c r="G17" s="63"/>
      <c r="T17" s="138" t="str" cm="1">
        <f t="array" ref="T17:AM17">MID(MyHex2Bin(T16,20),_xlfn.SEQUENCE(1,20),1)</f>
        <v>1</v>
      </c>
      <c r="U17" s="124" t="str">
        <v>0</v>
      </c>
      <c r="V17" s="124" t="str">
        <v>1</v>
      </c>
      <c r="W17" s="124" t="str">
        <v>0</v>
      </c>
      <c r="X17" s="124" t="str">
        <v>1</v>
      </c>
      <c r="Y17" s="125" t="str">
        <v>1</v>
      </c>
      <c r="Z17" s="124" t="str">
        <v>1</v>
      </c>
      <c r="AA17" s="124" t="str">
        <v>1</v>
      </c>
      <c r="AB17" s="124" t="str">
        <v>1</v>
      </c>
      <c r="AC17" s="124" t="str">
        <v>1</v>
      </c>
      <c r="AD17" s="124" t="str">
        <v>1</v>
      </c>
      <c r="AE17" s="124" t="str">
        <v>1</v>
      </c>
      <c r="AF17" s="124" t="str">
        <v>1</v>
      </c>
      <c r="AG17" s="124" t="str">
        <v>1</v>
      </c>
      <c r="AH17" s="124" t="str">
        <v>1</v>
      </c>
      <c r="AI17" s="124" t="str">
        <v>1</v>
      </c>
      <c r="AJ17" s="124" t="str">
        <v>1</v>
      </c>
      <c r="AK17" s="124" t="str">
        <v>1</v>
      </c>
      <c r="AL17" s="124" t="str">
        <v>0</v>
      </c>
      <c r="AM17" s="124" t="str">
        <v>0</v>
      </c>
    </row>
    <row r="18" spans="1:39" ht="15.75" customHeight="1" thickBot="1" x14ac:dyDescent="0.35">
      <c r="D18" s="126" t="s">
        <v>99</v>
      </c>
      <c r="E18" s="1" t="s">
        <v>247</v>
      </c>
      <c r="H18" s="2" cm="1">
        <f t="array" ref="H18:AM18">_xlfn.SEQUENCE(1,32,31,-1)</f>
        <v>31</v>
      </c>
      <c r="I18" s="2">
        <v>30</v>
      </c>
      <c r="J18" s="2">
        <v>29</v>
      </c>
      <c r="K18" s="2">
        <v>28</v>
      </c>
      <c r="L18" s="2">
        <v>27</v>
      </c>
      <c r="M18" s="2">
        <v>26</v>
      </c>
      <c r="N18" s="2">
        <v>25</v>
      </c>
      <c r="O18" s="2">
        <v>24</v>
      </c>
      <c r="P18" s="2">
        <v>23</v>
      </c>
      <c r="Q18" s="2">
        <v>22</v>
      </c>
      <c r="R18" s="2">
        <v>21</v>
      </c>
      <c r="S18" s="2">
        <v>20</v>
      </c>
      <c r="T18" s="2">
        <v>19</v>
      </c>
      <c r="U18" s="2">
        <v>18</v>
      </c>
      <c r="V18" s="2">
        <v>17</v>
      </c>
      <c r="W18" s="2">
        <v>16</v>
      </c>
      <c r="X18" s="2">
        <v>15</v>
      </c>
      <c r="Y18" s="2">
        <v>14</v>
      </c>
      <c r="Z18" s="2">
        <v>13</v>
      </c>
      <c r="AA18" s="2">
        <v>12</v>
      </c>
      <c r="AB18" s="2">
        <v>11</v>
      </c>
      <c r="AC18" s="2">
        <v>10</v>
      </c>
      <c r="AD18" s="2">
        <v>9</v>
      </c>
      <c r="AE18" s="2">
        <v>8</v>
      </c>
      <c r="AF18" s="2">
        <v>7</v>
      </c>
      <c r="AG18" s="2">
        <v>6</v>
      </c>
      <c r="AH18" s="2">
        <v>5</v>
      </c>
      <c r="AI18" s="2">
        <v>4</v>
      </c>
      <c r="AJ18" s="2">
        <v>3</v>
      </c>
      <c r="AK18" s="2">
        <v>2</v>
      </c>
      <c r="AL18" s="2">
        <v>1</v>
      </c>
      <c r="AM18" s="2">
        <v>0</v>
      </c>
    </row>
    <row r="19" spans="1:39" ht="16.5" thickTop="1" thickBot="1" x14ac:dyDescent="0.3">
      <c r="C19" s="1"/>
      <c r="D19" s="1"/>
      <c r="E19" s="1"/>
      <c r="H19" s="449" t="s">
        <v>257</v>
      </c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 t="s">
        <v>242</v>
      </c>
      <c r="AC19" s="449"/>
      <c r="AD19" s="449"/>
      <c r="AE19" s="449"/>
      <c r="AF19" s="449"/>
      <c r="AG19" s="449" t="s">
        <v>50</v>
      </c>
      <c r="AH19" s="449"/>
      <c r="AI19" s="449"/>
      <c r="AJ19" s="449"/>
      <c r="AK19" s="449"/>
      <c r="AL19" s="449"/>
      <c r="AM19" s="449"/>
    </row>
    <row r="20" spans="1:39" ht="15.75" thickBot="1" x14ac:dyDescent="0.3">
      <c r="C20" s="1"/>
      <c r="D20" s="1"/>
      <c r="E20" s="1"/>
      <c r="G20" s="19" t="s">
        <v>250</v>
      </c>
      <c r="H20" s="451" t="str">
        <f>T16</f>
        <v>0xAFFFC</v>
      </c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3"/>
      <c r="AB20" s="443" t="str">
        <f>R16</f>
        <v>a2</v>
      </c>
      <c r="AC20" s="444"/>
      <c r="AD20" s="444"/>
      <c r="AE20" s="444"/>
      <c r="AF20" s="445"/>
      <c r="AG20" s="435" t="str">
        <f>O16</f>
        <v>lui</v>
      </c>
      <c r="AH20" s="436"/>
      <c r="AI20" s="436"/>
      <c r="AJ20" s="436"/>
      <c r="AK20" s="436"/>
      <c r="AL20" s="436"/>
      <c r="AM20" s="437"/>
    </row>
    <row r="21" spans="1:39" ht="15.75" thickBot="1" x14ac:dyDescent="0.3">
      <c r="C21" s="1"/>
      <c r="D21" s="1"/>
      <c r="E21" s="1"/>
      <c r="G21" s="19" t="s">
        <v>251</v>
      </c>
      <c r="H21" s="104"/>
      <c r="I21" s="100"/>
      <c r="J21" s="105"/>
      <c r="K21" s="105"/>
      <c r="L21" s="105"/>
      <c r="M21" s="105"/>
      <c r="N21" s="105"/>
      <c r="O21" s="105"/>
      <c r="P21" s="105"/>
      <c r="Q21" s="105"/>
      <c r="R21" s="105"/>
      <c r="S21" s="100"/>
      <c r="T21" s="100"/>
      <c r="U21" s="105"/>
      <c r="V21" s="105"/>
      <c r="W21" s="105"/>
      <c r="X21" s="105"/>
      <c r="Y21" s="105"/>
      <c r="Z21" s="105"/>
      <c r="AA21" s="106"/>
      <c r="AB21" s="443">
        <f>VLOOKUP(AB20,TableRegisters[],2,FALSE)</f>
        <v>12</v>
      </c>
      <c r="AC21" s="444"/>
      <c r="AD21" s="444"/>
      <c r="AE21" s="444"/>
      <c r="AF21" s="445"/>
      <c r="AG21" s="435">
        <f>VLOOKUP(AG20,TableOpcodes[],COL_OPCODE,FALSE)</f>
        <v>55</v>
      </c>
      <c r="AH21" s="436"/>
      <c r="AI21" s="436"/>
      <c r="AJ21" s="436"/>
      <c r="AK21" s="436"/>
      <c r="AL21" s="436"/>
      <c r="AM21" s="437"/>
    </row>
    <row r="22" spans="1:39" ht="15.75" thickBot="1" x14ac:dyDescent="0.3">
      <c r="G22" s="19" t="s">
        <v>252</v>
      </c>
      <c r="H22" s="139" t="str" cm="1">
        <f t="array" ref="H22:AA22">_xlfn.ANCHORARRAY(T17)</f>
        <v>1</v>
      </c>
      <c r="I22" s="122" t="str">
        <v>0</v>
      </c>
      <c r="J22" s="122" t="str">
        <v>1</v>
      </c>
      <c r="K22" s="122" t="str">
        <v>0</v>
      </c>
      <c r="L22" s="122" t="str">
        <v>1</v>
      </c>
      <c r="M22" s="122" t="str">
        <v>1</v>
      </c>
      <c r="N22" s="122" t="str">
        <v>1</v>
      </c>
      <c r="O22" s="122" t="str">
        <v>1</v>
      </c>
      <c r="P22" s="122" t="str">
        <v>1</v>
      </c>
      <c r="Q22" s="122" t="str">
        <v>1</v>
      </c>
      <c r="R22" s="122" t="str">
        <v>1</v>
      </c>
      <c r="S22" s="122" t="str">
        <v>1</v>
      </c>
      <c r="T22" s="122" t="str">
        <v>1</v>
      </c>
      <c r="U22" s="122" t="str">
        <v>1</v>
      </c>
      <c r="V22" s="122" t="str">
        <v>1</v>
      </c>
      <c r="W22" s="122" t="str">
        <v>1</v>
      </c>
      <c r="X22" s="122" t="str">
        <v>1</v>
      </c>
      <c r="Y22" s="122" t="str">
        <v>1</v>
      </c>
      <c r="Z22" s="122" t="str">
        <v>0</v>
      </c>
      <c r="AA22" s="123" t="str">
        <v>0</v>
      </c>
      <c r="AB22" s="97" t="str" cm="1">
        <f t="array" ref="AB22:AF22">MID(DEC2BIN(AB21,5),_xlfn.SEQUENCE(1,5),1)</f>
        <v>0</v>
      </c>
      <c r="AC22" s="97" t="str">
        <v>1</v>
      </c>
      <c r="AD22" s="97" t="str">
        <v>1</v>
      </c>
      <c r="AE22" s="97" t="str">
        <v>0</v>
      </c>
      <c r="AF22" s="98" t="str">
        <v>0</v>
      </c>
      <c r="AG22" s="38" t="str" cm="1">
        <f t="array" ref="AG22:AM22">MID(DEC2BIN(AG21,7),_xlfn.SEQUENCE(1,7),1)</f>
        <v>0</v>
      </c>
      <c r="AH22" s="39" t="str">
        <v>1</v>
      </c>
      <c r="AI22" s="39" t="str">
        <v>1</v>
      </c>
      <c r="AJ22" s="118" t="str">
        <v>0</v>
      </c>
      <c r="AK22" s="118" t="str">
        <v>1</v>
      </c>
      <c r="AL22" s="118" t="str">
        <v>1</v>
      </c>
      <c r="AM22" s="119" t="str">
        <v>1</v>
      </c>
    </row>
    <row r="23" spans="1:39" ht="15.75" thickBot="1" x14ac:dyDescent="0.3">
      <c r="G23" s="19" t="s">
        <v>253</v>
      </c>
      <c r="H23" s="438" t="str">
        <f>BIN2HEX(H22&amp;I22&amp;J22&amp;K22,1)</f>
        <v>A</v>
      </c>
      <c r="I23" s="439"/>
      <c r="J23" s="439"/>
      <c r="K23" s="439"/>
      <c r="L23" s="438" t="str">
        <f>BIN2HEX(L22&amp;M22&amp;N22&amp;O22,1)</f>
        <v>F</v>
      </c>
      <c r="M23" s="439"/>
      <c r="N23" s="439"/>
      <c r="O23" s="439"/>
      <c r="P23" s="438" t="str">
        <f>BIN2HEX(P22&amp;Q22&amp;R22&amp;S22,1)</f>
        <v>F</v>
      </c>
      <c r="Q23" s="439"/>
      <c r="R23" s="439"/>
      <c r="S23" s="439"/>
      <c r="T23" s="438" t="str">
        <f>BIN2HEX(T22&amp;U22&amp;V22&amp;W22,1)</f>
        <v>F</v>
      </c>
      <c r="U23" s="439"/>
      <c r="V23" s="439"/>
      <c r="W23" s="439"/>
      <c r="X23" s="438" t="str">
        <f>BIN2HEX(X22&amp;Y22&amp;Z22&amp;AA22,1)</f>
        <v>C</v>
      </c>
      <c r="Y23" s="439"/>
      <c r="Z23" s="439"/>
      <c r="AA23" s="439"/>
      <c r="AB23" s="438" t="str">
        <f>BIN2HEX(AB22&amp;AC22&amp;AD22&amp;AE22,1)</f>
        <v>6</v>
      </c>
      <c r="AC23" s="439"/>
      <c r="AD23" s="439"/>
      <c r="AE23" s="439"/>
      <c r="AF23" s="438" t="str">
        <f>BIN2HEX(AF22&amp;AG22&amp;AH22&amp;AI22,1)</f>
        <v>3</v>
      </c>
      <c r="AG23" s="439"/>
      <c r="AH23" s="439"/>
      <c r="AI23" s="439"/>
      <c r="AJ23" s="440" t="str">
        <f>BIN2HEX(AJ22&amp;AK22&amp;AL22&amp;AM22,1)</f>
        <v>7</v>
      </c>
      <c r="AK23" s="441"/>
      <c r="AL23" s="441"/>
      <c r="AM23" s="442"/>
    </row>
    <row r="24" spans="1:39" ht="15.75" thickBot="1" x14ac:dyDescent="0.3"/>
    <row r="25" spans="1:39" ht="15.75" thickBot="1" x14ac:dyDescent="0.3">
      <c r="G25" s="509" t="s">
        <v>454</v>
      </c>
      <c r="H25" s="521" t="s">
        <v>272</v>
      </c>
      <c r="I25" s="522"/>
      <c r="J25" s="522"/>
      <c r="K25" s="522"/>
      <c r="L25" s="522"/>
      <c r="M25" s="522"/>
      <c r="N25" s="523"/>
      <c r="O25" s="524" t="s">
        <v>266</v>
      </c>
      <c r="P25" s="525"/>
      <c r="Q25" s="525"/>
      <c r="R25" s="525"/>
      <c r="S25" s="526"/>
      <c r="T25" s="527" t="s">
        <v>243</v>
      </c>
      <c r="U25" s="528"/>
      <c r="V25" s="528"/>
      <c r="W25" s="528"/>
      <c r="X25" s="529"/>
      <c r="Y25" s="521" t="s">
        <v>249</v>
      </c>
      <c r="Z25" s="522"/>
      <c r="AA25" s="522"/>
      <c r="AB25" s="517" t="s">
        <v>242</v>
      </c>
      <c r="AC25" s="518"/>
      <c r="AD25" s="518"/>
      <c r="AE25" s="518"/>
      <c r="AF25" s="519"/>
      <c r="AG25" s="516" t="s">
        <v>50</v>
      </c>
      <c r="AH25" s="516"/>
      <c r="AI25" s="516"/>
      <c r="AJ25" s="516"/>
      <c r="AK25" s="516"/>
      <c r="AL25" s="516"/>
      <c r="AM25" s="520"/>
    </row>
    <row r="29" spans="1:39" ht="15.75" thickBot="1" x14ac:dyDescent="0.3">
      <c r="L29" s="427"/>
      <c r="M29" s="427"/>
      <c r="N29" s="427"/>
      <c r="O29" s="427"/>
      <c r="P29" s="427"/>
    </row>
    <row r="30" spans="1:39" ht="16.5" thickTop="1" x14ac:dyDescent="0.3">
      <c r="A30" s="84" t="s">
        <v>258</v>
      </c>
      <c r="B30" s="85" t="s">
        <v>256</v>
      </c>
      <c r="C30" s="469" t="s">
        <v>259</v>
      </c>
      <c r="D30" s="469"/>
      <c r="E30" s="469"/>
      <c r="F30" s="470"/>
      <c r="G30" s="3" t="s">
        <v>256</v>
      </c>
      <c r="H30" s="76" t="str" cm="1">
        <f t="array" ref="H30:AM30">MID(MyHex2Bin(C30,32),_xlfn.SEQUENCE(1,32),1)</f>
        <v>0</v>
      </c>
      <c r="I30" s="76" t="str">
        <v>0</v>
      </c>
      <c r="J30" s="76" t="str">
        <v>0</v>
      </c>
      <c r="K30" s="76" t="str">
        <v>0</v>
      </c>
      <c r="L30" s="76" t="str">
        <v>0</v>
      </c>
      <c r="M30" s="76" t="str">
        <v>0</v>
      </c>
      <c r="N30" s="76" t="str">
        <v>0</v>
      </c>
      <c r="O30" s="76" t="str">
        <v>0</v>
      </c>
      <c r="P30" s="76" t="str">
        <v>0</v>
      </c>
      <c r="Q30" s="76" t="str">
        <v>1</v>
      </c>
      <c r="R30" s="76" t="str">
        <v>0</v>
      </c>
      <c r="S30" s="76" t="str">
        <v>1</v>
      </c>
      <c r="T30" s="76" t="str">
        <v>0</v>
      </c>
      <c r="U30" s="76" t="str">
        <v>0</v>
      </c>
      <c r="V30" s="76" t="str">
        <v>0</v>
      </c>
      <c r="W30" s="76" t="str">
        <v>0</v>
      </c>
      <c r="X30" s="76" t="str">
        <v>0</v>
      </c>
      <c r="Y30" s="76" t="str">
        <v>0</v>
      </c>
      <c r="Z30" s="76" t="str">
        <v>0</v>
      </c>
      <c r="AA30" s="76" t="str">
        <v>0</v>
      </c>
      <c r="AB30" s="76" t="str">
        <v>0</v>
      </c>
      <c r="AC30" s="76" t="str">
        <v>0</v>
      </c>
      <c r="AD30" s="76" t="str">
        <v>0</v>
      </c>
      <c r="AE30" s="76" t="str">
        <v>0</v>
      </c>
      <c r="AF30" s="76" t="str">
        <v>0</v>
      </c>
      <c r="AG30" s="76" t="str">
        <v>0</v>
      </c>
      <c r="AH30" s="76" t="str">
        <v>0</v>
      </c>
      <c r="AI30" s="76" t="str">
        <v>0</v>
      </c>
      <c r="AJ30" s="76" t="str">
        <v>0</v>
      </c>
      <c r="AK30" s="76" t="str">
        <v>0</v>
      </c>
      <c r="AL30" s="76" t="str">
        <v>0</v>
      </c>
      <c r="AM30" s="80" t="str">
        <v>0</v>
      </c>
    </row>
    <row r="31" spans="1:39" ht="15.75" thickBot="1" x14ac:dyDescent="0.3">
      <c r="A31" s="86"/>
      <c r="B31" s="87" t="s">
        <v>260</v>
      </c>
      <c r="C31" s="467" cm="1">
        <f t="array" ref="C31">MyBin2Dec(_xlfn.ANCHORARRAY(H30),FALSE)</f>
        <v>5242880</v>
      </c>
      <c r="D31" s="467"/>
      <c r="E31" s="467"/>
      <c r="F31" s="468"/>
      <c r="G31" s="78" t="s">
        <v>261</v>
      </c>
      <c r="O31" s="33"/>
      <c r="P31" s="33"/>
      <c r="Q31" s="33"/>
      <c r="R31" s="62" t="s">
        <v>242</v>
      </c>
      <c r="S31" s="33"/>
      <c r="T31" s="461" t="s">
        <v>453</v>
      </c>
      <c r="U31" s="462"/>
      <c r="V31" s="462"/>
      <c r="W31" s="462"/>
      <c r="X31" s="463"/>
      <c r="Y31" s="31"/>
      <c r="Z31" s="83"/>
    </row>
    <row r="32" spans="1:39" ht="15.75" thickBot="1" x14ac:dyDescent="0.3">
      <c r="A32" s="86"/>
      <c r="B32" s="88" t="s">
        <v>262</v>
      </c>
      <c r="C32" s="89" t="s">
        <v>260</v>
      </c>
      <c r="D32" s="473" cm="1">
        <f t="array" ref="D32">MyBin2Dec(S33:AL33) *2</f>
        <v>-1048564</v>
      </c>
      <c r="E32" s="473"/>
      <c r="F32" s="474"/>
      <c r="G32" t="s">
        <v>245</v>
      </c>
      <c r="O32" s="435" t="s">
        <v>147</v>
      </c>
      <c r="P32" s="436"/>
      <c r="Q32" s="437"/>
      <c r="R32" s="443" t="s">
        <v>70</v>
      </c>
      <c r="S32" s="445"/>
      <c r="T32" s="464" t="s">
        <v>263</v>
      </c>
      <c r="U32" s="465"/>
      <c r="V32" s="465"/>
      <c r="W32" s="465"/>
      <c r="X32" s="466"/>
      <c r="Y32" s="75" t="s">
        <v>246</v>
      </c>
      <c r="Z32" s="74"/>
      <c r="AB32" s="115" t="s">
        <v>242</v>
      </c>
      <c r="AC32" s="116" t="s">
        <v>256</v>
      </c>
      <c r="AD32" s="457" t="str">
        <f>R32</f>
        <v>s1</v>
      </c>
      <c r="AE32" s="457"/>
      <c r="AF32" s="116" t="s">
        <v>256</v>
      </c>
      <c r="AG32" s="116" t="s">
        <v>264</v>
      </c>
      <c r="AH32" s="116"/>
      <c r="AI32" s="116" t="s">
        <v>256</v>
      </c>
      <c r="AJ32" s="458" t="str">
        <f>"0x" &amp; DEC2HEX(C31+4,8)</f>
        <v>0x00500004</v>
      </c>
      <c r="AK32" s="458"/>
      <c r="AL32" s="458"/>
      <c r="AM32" s="459"/>
    </row>
    <row r="33" spans="1:40" ht="15.75" thickTop="1" x14ac:dyDescent="0.25">
      <c r="A33" s="86"/>
      <c r="B33" s="87" t="s">
        <v>260</v>
      </c>
      <c r="C33" s="467">
        <f>C31 + D32</f>
        <v>4194316</v>
      </c>
      <c r="D33" s="467"/>
      <c r="E33" s="467"/>
      <c r="F33" s="468"/>
      <c r="G33" s="63" t="s">
        <v>261</v>
      </c>
      <c r="S33" s="69" t="str" cm="1">
        <f t="array" ref="S33:AM33">MID(MyHex2Bin(T32,21),_xlfn.SEQUENCE(1,21),1)</f>
        <v>1</v>
      </c>
      <c r="T33" s="113" t="str">
        <v>0</v>
      </c>
      <c r="U33" s="113" t="str">
        <v>0</v>
      </c>
      <c r="V33" s="113" t="str">
        <v>0</v>
      </c>
      <c r="W33" s="113" t="str">
        <v>0</v>
      </c>
      <c r="X33" s="113" t="str">
        <v>0</v>
      </c>
      <c r="Y33" s="114" t="str">
        <v>0</v>
      </c>
      <c r="Z33" s="113" t="str">
        <v>0</v>
      </c>
      <c r="AA33" s="113" t="str">
        <v>0</v>
      </c>
      <c r="AB33" s="64" t="str">
        <v>0</v>
      </c>
      <c r="AC33" s="65" t="str">
        <v>0</v>
      </c>
      <c r="AD33" s="65" t="str">
        <v>0</v>
      </c>
      <c r="AE33" s="65" t="str">
        <v>0</v>
      </c>
      <c r="AF33" s="65" t="str">
        <v>0</v>
      </c>
      <c r="AG33" s="65" t="str">
        <v>0</v>
      </c>
      <c r="AH33" s="65" t="str">
        <v>0</v>
      </c>
      <c r="AI33" s="65" t="str">
        <v>0</v>
      </c>
      <c r="AJ33" s="65" t="str">
        <v>1</v>
      </c>
      <c r="AK33" s="65" t="str">
        <v>1</v>
      </c>
      <c r="AL33" s="65" t="str">
        <v>0</v>
      </c>
      <c r="AM33" s="117" t="str">
        <v>0</v>
      </c>
    </row>
    <row r="34" spans="1:40" ht="18.75" thickBot="1" x14ac:dyDescent="0.4">
      <c r="A34" s="90" t="s">
        <v>258</v>
      </c>
      <c r="B34" s="91" t="str">
        <f>O32</f>
        <v>jal</v>
      </c>
      <c r="C34" s="471" t="str">
        <f>"0x"&amp;DEC2HEX(C33,8)</f>
        <v>0x0040000C</v>
      </c>
      <c r="D34" s="471"/>
      <c r="E34" s="471"/>
      <c r="F34" s="472"/>
      <c r="G34" s="3" t="s">
        <v>256</v>
      </c>
      <c r="H34" s="72" t="str" cm="1">
        <f t="array" ref="H34:AM34">MID(MyHex2Bin(C34,32),_xlfn.SEQUENCE(1,32),1)</f>
        <v>0</v>
      </c>
      <c r="I34" s="72" t="str">
        <v>0</v>
      </c>
      <c r="J34" s="72" t="str">
        <v>0</v>
      </c>
      <c r="K34" s="72" t="str">
        <v>0</v>
      </c>
      <c r="L34" s="72" t="str">
        <v>0</v>
      </c>
      <c r="M34" s="72" t="str">
        <v>0</v>
      </c>
      <c r="N34" s="72" t="str">
        <v>0</v>
      </c>
      <c r="O34" s="72" t="str">
        <v>0</v>
      </c>
      <c r="P34" s="72" t="str">
        <v>0</v>
      </c>
      <c r="Q34" s="72" t="str">
        <v>1</v>
      </c>
      <c r="R34" s="72" t="str">
        <v>0</v>
      </c>
      <c r="S34" s="72" t="str">
        <v>0</v>
      </c>
      <c r="T34" s="72" t="str">
        <v>0</v>
      </c>
      <c r="U34" s="72" t="str">
        <v>0</v>
      </c>
      <c r="V34" s="72" t="str">
        <v>0</v>
      </c>
      <c r="W34" s="72" t="str">
        <v>0</v>
      </c>
      <c r="X34" s="72" t="str">
        <v>0</v>
      </c>
      <c r="Y34" s="72" t="str">
        <v>0</v>
      </c>
      <c r="Z34" s="72" t="str">
        <v>0</v>
      </c>
      <c r="AA34" s="72" t="str">
        <v>0</v>
      </c>
      <c r="AB34" s="72" t="str">
        <v>0</v>
      </c>
      <c r="AC34" s="72" t="str">
        <v>0</v>
      </c>
      <c r="AD34" s="72" t="str">
        <v>0</v>
      </c>
      <c r="AE34" s="72" t="str">
        <v>0</v>
      </c>
      <c r="AF34" s="72" t="str">
        <v>0</v>
      </c>
      <c r="AG34" s="72" t="str">
        <v>0</v>
      </c>
      <c r="AH34" s="72" t="str">
        <v>0</v>
      </c>
      <c r="AI34" s="72" t="str">
        <v>0</v>
      </c>
      <c r="AJ34" s="73" t="str">
        <v>1</v>
      </c>
      <c r="AK34" s="73" t="str">
        <v>1</v>
      </c>
      <c r="AL34" s="73" t="str">
        <v>0</v>
      </c>
      <c r="AM34" s="81" t="str">
        <v>0</v>
      </c>
    </row>
    <row r="35" spans="1:40" ht="15.75" customHeight="1" thickTop="1" thickBot="1" x14ac:dyDescent="0.35">
      <c r="D35" s="126" t="s">
        <v>196</v>
      </c>
      <c r="E35" s="1" t="s">
        <v>247</v>
      </c>
      <c r="H35" s="2" cm="1">
        <f t="array" ref="H35:AM35">_xlfn.SEQUENCE(1,32,31,-1)</f>
        <v>31</v>
      </c>
      <c r="I35" s="2">
        <v>30</v>
      </c>
      <c r="J35" s="2">
        <v>29</v>
      </c>
      <c r="K35" s="2">
        <v>28</v>
      </c>
      <c r="L35" s="2">
        <v>27</v>
      </c>
      <c r="M35" s="2">
        <v>26</v>
      </c>
      <c r="N35" s="2">
        <v>25</v>
      </c>
      <c r="O35" s="2">
        <v>24</v>
      </c>
      <c r="P35" s="2">
        <v>23</v>
      </c>
      <c r="Q35" s="2">
        <v>22</v>
      </c>
      <c r="R35" s="2">
        <v>21</v>
      </c>
      <c r="S35" s="2">
        <v>20</v>
      </c>
      <c r="T35" s="2">
        <v>19</v>
      </c>
      <c r="U35" s="2">
        <v>18</v>
      </c>
      <c r="V35" s="2">
        <v>17</v>
      </c>
      <c r="W35" s="2">
        <v>16</v>
      </c>
      <c r="X35" s="2">
        <v>15</v>
      </c>
      <c r="Y35" s="2">
        <v>14</v>
      </c>
      <c r="Z35" s="2">
        <v>13</v>
      </c>
      <c r="AA35" s="2">
        <v>12</v>
      </c>
      <c r="AB35" s="2">
        <v>11</v>
      </c>
      <c r="AC35" s="2">
        <v>10</v>
      </c>
      <c r="AD35" s="2">
        <v>9</v>
      </c>
      <c r="AE35" s="2">
        <v>8</v>
      </c>
      <c r="AF35" s="2">
        <v>7</v>
      </c>
      <c r="AG35" s="2">
        <v>6</v>
      </c>
      <c r="AH35" s="2">
        <v>5</v>
      </c>
      <c r="AI35" s="2">
        <v>4</v>
      </c>
      <c r="AJ35" s="2">
        <v>3</v>
      </c>
      <c r="AK35" s="2">
        <v>2</v>
      </c>
      <c r="AL35" s="2">
        <v>1</v>
      </c>
      <c r="AM35" s="2">
        <v>0</v>
      </c>
    </row>
    <row r="36" spans="1:40" ht="16.5" thickTop="1" thickBot="1" x14ac:dyDescent="0.3">
      <c r="C36" s="1"/>
      <c r="D36" s="1"/>
      <c r="E36" s="1"/>
      <c r="H36" s="449" t="s">
        <v>265</v>
      </c>
      <c r="I36" s="449"/>
      <c r="J36" s="449"/>
      <c r="K36" s="449"/>
      <c r="L36" s="449"/>
      <c r="M36" s="449"/>
      <c r="N36" s="449"/>
      <c r="O36" s="449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49" t="s">
        <v>242</v>
      </c>
      <c r="AC36" s="449"/>
      <c r="AD36" s="449"/>
      <c r="AE36" s="449"/>
      <c r="AF36" s="449"/>
      <c r="AG36" s="449" t="s">
        <v>50</v>
      </c>
      <c r="AH36" s="449"/>
      <c r="AI36" s="449"/>
      <c r="AJ36" s="449"/>
      <c r="AK36" s="449"/>
      <c r="AL36" s="449"/>
      <c r="AM36" s="449"/>
    </row>
    <row r="37" spans="1:40" ht="15.75" thickBot="1" x14ac:dyDescent="0.3">
      <c r="C37" s="1"/>
      <c r="D37" s="1"/>
      <c r="E37" s="1"/>
      <c r="G37" s="19" t="s">
        <v>250</v>
      </c>
      <c r="H37" s="451" t="str">
        <f>T32 &amp; " [20,10:1,11,19:12]"</f>
        <v>0x10000C [20,10:1,11,19:12]</v>
      </c>
      <c r="I37" s="452"/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452"/>
      <c r="U37" s="452"/>
      <c r="V37" s="452"/>
      <c r="W37" s="452"/>
      <c r="X37" s="452"/>
      <c r="Y37" s="452"/>
      <c r="Z37" s="452"/>
      <c r="AA37" s="453"/>
      <c r="AB37" s="443" t="str">
        <f>R32</f>
        <v>s1</v>
      </c>
      <c r="AC37" s="444"/>
      <c r="AD37" s="444"/>
      <c r="AE37" s="444"/>
      <c r="AF37" s="445"/>
      <c r="AG37" s="435" t="str">
        <f>O32</f>
        <v>jal</v>
      </c>
      <c r="AH37" s="436"/>
      <c r="AI37" s="436"/>
      <c r="AJ37" s="436"/>
      <c r="AK37" s="436"/>
      <c r="AL37" s="436"/>
      <c r="AM37" s="437"/>
    </row>
    <row r="38" spans="1:40" ht="15.75" thickBot="1" x14ac:dyDescent="0.3">
      <c r="C38" s="1"/>
      <c r="D38" s="1"/>
      <c r="E38" s="1"/>
      <c r="G38" s="19" t="s">
        <v>251</v>
      </c>
      <c r="H38" s="104"/>
      <c r="I38" s="107"/>
      <c r="J38" s="105"/>
      <c r="K38" s="105"/>
      <c r="L38" s="105"/>
      <c r="M38" s="105"/>
      <c r="N38" s="105"/>
      <c r="O38" s="105"/>
      <c r="P38" s="105"/>
      <c r="Q38" s="105"/>
      <c r="R38" s="105"/>
      <c r="S38" s="107"/>
      <c r="T38" s="107"/>
      <c r="U38" s="105"/>
      <c r="V38" s="105"/>
      <c r="W38" s="105"/>
      <c r="X38" s="105"/>
      <c r="Y38" s="105"/>
      <c r="Z38" s="105"/>
      <c r="AA38" s="106"/>
      <c r="AB38" s="443">
        <f>VLOOKUP(AB37,TableRegisters[],2,FALSE)</f>
        <v>9</v>
      </c>
      <c r="AC38" s="444"/>
      <c r="AD38" s="444"/>
      <c r="AE38" s="444"/>
      <c r="AF38" s="445"/>
      <c r="AG38" s="435">
        <f>VLOOKUP(AG37,TableOpcodes[],COL_OPCODE,FALSE)</f>
        <v>111</v>
      </c>
      <c r="AH38" s="436"/>
      <c r="AI38" s="436"/>
      <c r="AJ38" s="436"/>
      <c r="AK38" s="436"/>
      <c r="AL38" s="436"/>
      <c r="AM38" s="437"/>
    </row>
    <row r="39" spans="1:40" ht="15.75" thickBot="1" x14ac:dyDescent="0.3">
      <c r="G39" s="19" t="s">
        <v>252</v>
      </c>
      <c r="H39" s="68" t="str">
        <f>S33</f>
        <v>1</v>
      </c>
      <c r="I39" s="109" t="str" cm="1">
        <f t="array" ref="I39:R39">AC33:AL33</f>
        <v>0</v>
      </c>
      <c r="J39" s="66" t="str">
        <v>0</v>
      </c>
      <c r="K39" s="66" t="str">
        <v>0</v>
      </c>
      <c r="L39" s="66" t="str">
        <v>0</v>
      </c>
      <c r="M39" s="66" t="str">
        <v>0</v>
      </c>
      <c r="N39" s="66" t="str">
        <v>0</v>
      </c>
      <c r="O39" s="66" t="str">
        <v>0</v>
      </c>
      <c r="P39" s="66" t="str">
        <v>1</v>
      </c>
      <c r="Q39" s="66" t="str">
        <v>1</v>
      </c>
      <c r="R39" s="66" t="str">
        <v>0</v>
      </c>
      <c r="S39" s="110" t="str">
        <f>AB33</f>
        <v>0</v>
      </c>
      <c r="T39" s="111" t="str" cm="1">
        <f t="array" ref="T39:AA39">T33:AA33</f>
        <v>0</v>
      </c>
      <c r="U39" s="102" t="str">
        <v>0</v>
      </c>
      <c r="V39" s="102" t="str">
        <v>0</v>
      </c>
      <c r="W39" s="102" t="str">
        <v>0</v>
      </c>
      <c r="X39" s="102" t="str">
        <v>0</v>
      </c>
      <c r="Y39" s="102" t="str">
        <v>0</v>
      </c>
      <c r="Z39" s="102" t="str">
        <v>0</v>
      </c>
      <c r="AA39" s="103" t="str">
        <v>0</v>
      </c>
      <c r="AB39" s="97" t="str" cm="1">
        <f t="array" ref="AB39:AF39">MID(DEC2BIN(AB38,5),_xlfn.SEQUENCE(1,5),1)</f>
        <v>0</v>
      </c>
      <c r="AC39" s="97" t="str">
        <v>1</v>
      </c>
      <c r="AD39" s="97" t="str">
        <v>0</v>
      </c>
      <c r="AE39" s="97" t="str">
        <v>0</v>
      </c>
      <c r="AF39" s="97" t="str">
        <v>1</v>
      </c>
      <c r="AG39" s="38" t="str" cm="1">
        <f t="array" ref="AG39:AM39">MID(DEC2BIN(AG38,7),_xlfn.SEQUENCE(1,7),1)</f>
        <v>1</v>
      </c>
      <c r="AH39" s="39" t="str">
        <v>1</v>
      </c>
      <c r="AI39" s="39" t="str">
        <v>0</v>
      </c>
      <c r="AJ39" s="118" t="str">
        <v>1</v>
      </c>
      <c r="AK39" s="118" t="str">
        <v>1</v>
      </c>
      <c r="AL39" s="118" t="str">
        <v>1</v>
      </c>
      <c r="AM39" s="119" t="str">
        <v>1</v>
      </c>
    </row>
    <row r="40" spans="1:40" ht="15.75" thickBot="1" x14ac:dyDescent="0.3">
      <c r="G40" s="19" t="s">
        <v>253</v>
      </c>
      <c r="H40" s="438" t="str">
        <f>BIN2HEX(H39&amp;I39&amp;J39&amp;K39,1)</f>
        <v>8</v>
      </c>
      <c r="I40" s="439"/>
      <c r="J40" s="439"/>
      <c r="K40" s="439"/>
      <c r="L40" s="438" t="str">
        <f>BIN2HEX(L39&amp;M39&amp;N39&amp;O39,1)</f>
        <v>0</v>
      </c>
      <c r="M40" s="439"/>
      <c r="N40" s="439"/>
      <c r="O40" s="439"/>
      <c r="P40" s="438" t="str">
        <f>BIN2HEX(P39&amp;Q39&amp;R39&amp;S39,1)</f>
        <v>C</v>
      </c>
      <c r="Q40" s="439"/>
      <c r="R40" s="439"/>
      <c r="S40" s="439"/>
      <c r="T40" s="438" t="str">
        <f>BIN2HEX(T39&amp;U39&amp;V39&amp;W39,1)</f>
        <v>0</v>
      </c>
      <c r="U40" s="439"/>
      <c r="V40" s="439"/>
      <c r="W40" s="439"/>
      <c r="X40" s="438" t="str">
        <f>BIN2HEX(X39&amp;Y39&amp;Z39&amp;AA39,1)</f>
        <v>0</v>
      </c>
      <c r="Y40" s="439"/>
      <c r="Z40" s="439"/>
      <c r="AA40" s="439"/>
      <c r="AB40" s="438" t="str">
        <f>BIN2HEX(AB39&amp;AC39&amp;AD39&amp;AE39,1)</f>
        <v>4</v>
      </c>
      <c r="AC40" s="439"/>
      <c r="AD40" s="439"/>
      <c r="AE40" s="439"/>
      <c r="AF40" s="438" t="str">
        <f>BIN2HEX(AF39&amp;AG39&amp;AH39&amp;AI39,1)</f>
        <v>E</v>
      </c>
      <c r="AG40" s="439"/>
      <c r="AH40" s="439"/>
      <c r="AI40" s="439"/>
      <c r="AJ40" s="440" t="str">
        <f>BIN2HEX(AJ39&amp;AK39&amp;AL39&amp;AM39,1)</f>
        <v>F</v>
      </c>
      <c r="AK40" s="441"/>
      <c r="AL40" s="441"/>
      <c r="AM40" s="442"/>
      <c r="AN40" s="31"/>
    </row>
    <row r="41" spans="1:40" ht="15.75" thickBot="1" x14ac:dyDescent="0.3"/>
    <row r="42" spans="1:40" ht="15.75" thickBot="1" x14ac:dyDescent="0.3">
      <c r="G42" s="509" t="s">
        <v>454</v>
      </c>
      <c r="H42" s="521" t="s">
        <v>272</v>
      </c>
      <c r="I42" s="522"/>
      <c r="J42" s="522"/>
      <c r="K42" s="522"/>
      <c r="L42" s="522"/>
      <c r="M42" s="522"/>
      <c r="N42" s="523"/>
      <c r="O42" s="524" t="s">
        <v>266</v>
      </c>
      <c r="P42" s="525"/>
      <c r="Q42" s="525"/>
      <c r="R42" s="525"/>
      <c r="S42" s="526"/>
      <c r="T42" s="527" t="s">
        <v>243</v>
      </c>
      <c r="U42" s="528"/>
      <c r="V42" s="528"/>
      <c r="W42" s="528"/>
      <c r="X42" s="529"/>
      <c r="Y42" s="521" t="s">
        <v>249</v>
      </c>
      <c r="Z42" s="522"/>
      <c r="AA42" s="522"/>
      <c r="AB42" s="517" t="s">
        <v>242</v>
      </c>
      <c r="AC42" s="518"/>
      <c r="AD42" s="518"/>
      <c r="AE42" s="518"/>
      <c r="AF42" s="519"/>
      <c r="AG42" s="516" t="s">
        <v>50</v>
      </c>
      <c r="AH42" s="516"/>
      <c r="AI42" s="516"/>
      <c r="AJ42" s="516"/>
      <c r="AK42" s="516"/>
      <c r="AL42" s="516"/>
      <c r="AM42" s="520"/>
    </row>
    <row r="45" spans="1:40" x14ac:dyDescent="0.25">
      <c r="V45" s="422"/>
    </row>
    <row r="46" spans="1:40" ht="15.75" thickBot="1" x14ac:dyDescent="0.3"/>
    <row r="47" spans="1:40" ht="16.5" thickTop="1" x14ac:dyDescent="0.3">
      <c r="A47" s="84" t="s">
        <v>258</v>
      </c>
      <c r="B47" s="85" t="s">
        <v>256</v>
      </c>
      <c r="C47" s="469" t="s">
        <v>452</v>
      </c>
      <c r="D47" s="469"/>
      <c r="E47" s="469"/>
      <c r="F47" s="470"/>
      <c r="G47" s="3" t="s">
        <v>256</v>
      </c>
      <c r="H47" s="76" t="str" cm="1">
        <f t="array" ref="H47:AM47">MID(MyHex2Bin(C47,32),_xlfn.SEQUENCE(1,32),1)</f>
        <v>0</v>
      </c>
      <c r="I47" s="76" t="str">
        <v>0</v>
      </c>
      <c r="J47" s="76" t="str">
        <v>0</v>
      </c>
      <c r="K47" s="76" t="str">
        <v>0</v>
      </c>
      <c r="L47" s="76" t="str">
        <v>0</v>
      </c>
      <c r="M47" s="76" t="str">
        <v>0</v>
      </c>
      <c r="N47" s="76" t="str">
        <v>0</v>
      </c>
      <c r="O47" s="76" t="str">
        <v>0</v>
      </c>
      <c r="P47" s="76" t="str">
        <v>0</v>
      </c>
      <c r="Q47" s="76" t="str">
        <v>0</v>
      </c>
      <c r="R47" s="76" t="str">
        <v>0</v>
      </c>
      <c r="S47" s="76" t="str">
        <v>0</v>
      </c>
      <c r="T47" s="76" t="str">
        <v>0</v>
      </c>
      <c r="U47" s="76" t="str">
        <v>1</v>
      </c>
      <c r="V47" s="76" t="str">
        <v>0</v>
      </c>
      <c r="W47" s="76" t="str">
        <v>0</v>
      </c>
      <c r="X47" s="76" t="str">
        <v>0</v>
      </c>
      <c r="Y47" s="76" t="str">
        <v>0</v>
      </c>
      <c r="Z47" s="76" t="str">
        <v>0</v>
      </c>
      <c r="AA47" s="76" t="str">
        <v>0</v>
      </c>
      <c r="AB47" s="76" t="str">
        <v>0</v>
      </c>
      <c r="AC47" s="76" t="str">
        <v>0</v>
      </c>
      <c r="AD47" s="76" t="str">
        <v>0</v>
      </c>
      <c r="AE47" s="76" t="str">
        <v>0</v>
      </c>
      <c r="AF47" s="76" t="str">
        <v>0</v>
      </c>
      <c r="AG47" s="76" t="str">
        <v>0</v>
      </c>
      <c r="AH47" s="76" t="str">
        <v>0</v>
      </c>
      <c r="AI47" s="76" t="str">
        <v>0</v>
      </c>
      <c r="AJ47" s="76" t="str">
        <v>1</v>
      </c>
      <c r="AK47" s="76" t="str">
        <v>1</v>
      </c>
      <c r="AL47" s="76" t="str">
        <v>0</v>
      </c>
      <c r="AM47" s="539" t="str">
        <v>0</v>
      </c>
    </row>
    <row r="48" spans="1:40" ht="15.75" thickBot="1" x14ac:dyDescent="0.3">
      <c r="A48" s="86"/>
      <c r="B48" s="87" t="s">
        <v>260</v>
      </c>
      <c r="C48" s="467" cm="1">
        <f t="array" ref="C48">MyBin2Dec(_xlfn.ANCHORARRAY(H47),FALSE)</f>
        <v>262156</v>
      </c>
      <c r="D48" s="467"/>
      <c r="E48" s="467"/>
      <c r="F48" s="468"/>
      <c r="G48" s="78" t="s">
        <v>261</v>
      </c>
      <c r="O48" s="33"/>
      <c r="P48" s="33"/>
      <c r="Q48" s="33"/>
      <c r="R48" s="62" t="s">
        <v>243</v>
      </c>
      <c r="S48" s="33"/>
      <c r="T48" s="62" t="s">
        <v>266</v>
      </c>
      <c r="V48" s="82" t="s">
        <v>451</v>
      </c>
      <c r="Y48" s="31"/>
      <c r="Z48" s="83"/>
      <c r="AA48" s="77" t="str">
        <f>AA49</f>
        <v>0</v>
      </c>
      <c r="AB48" s="424" t="str">
        <f>BIN2HEX(AB49&amp;AC49&amp;AD49&amp;AE49,1)</f>
        <v>0</v>
      </c>
      <c r="AC48" s="425"/>
      <c r="AD48" s="425"/>
      <c r="AE48" s="425"/>
      <c r="AF48" s="426" t="str">
        <f>BIN2HEX(AF49&amp;AG49&amp;AH49&amp;AI49,1)</f>
        <v>1</v>
      </c>
      <c r="AG48" s="427"/>
      <c r="AH48" s="427"/>
      <c r="AI48" s="427"/>
      <c r="AJ48" s="426" t="str">
        <f>BIN2HEX(AJ49&amp;AK49&amp;AL49&amp;AM49,1)</f>
        <v>0</v>
      </c>
      <c r="AK48" s="427"/>
      <c r="AL48" s="427"/>
      <c r="AM48" s="428"/>
    </row>
    <row r="49" spans="1:40" ht="15.75" thickBot="1" x14ac:dyDescent="0.3">
      <c r="A49" s="86"/>
      <c r="B49" s="88" t="s">
        <v>262</v>
      </c>
      <c r="C49" s="89" t="s">
        <v>260</v>
      </c>
      <c r="D49" s="475" cm="1">
        <f t="array" ref="D49">MyBin2Dec(AA49:AL49) *2</f>
        <v>16</v>
      </c>
      <c r="E49" s="475"/>
      <c r="F49" s="476"/>
      <c r="G49" t="s">
        <v>245</v>
      </c>
      <c r="O49" s="435" t="s">
        <v>174</v>
      </c>
      <c r="P49" s="436"/>
      <c r="Q49" s="437"/>
      <c r="R49" s="432" t="s">
        <v>66</v>
      </c>
      <c r="S49" s="433"/>
      <c r="T49" s="429" t="s">
        <v>173</v>
      </c>
      <c r="U49" s="430"/>
      <c r="V49" s="454" t="s">
        <v>455</v>
      </c>
      <c r="W49" s="455"/>
      <c r="X49" s="456"/>
      <c r="Y49" s="75" t="s">
        <v>246</v>
      </c>
      <c r="Z49" s="74"/>
      <c r="AA49" s="69" t="str" cm="1">
        <f t="array" ref="AA49:AM49">MID(MyHex2Bin($V$49,13),_xlfn.SEQUENCE(1,13),1)</f>
        <v>0</v>
      </c>
      <c r="AB49" s="64" t="str">
        <v>0</v>
      </c>
      <c r="AC49" s="65" t="str">
        <v>0</v>
      </c>
      <c r="AD49" s="65" t="str">
        <v>0</v>
      </c>
      <c r="AE49" s="65" t="str">
        <v>0</v>
      </c>
      <c r="AF49" s="65" t="str">
        <v>0</v>
      </c>
      <c r="AG49" s="65" t="str">
        <v>0</v>
      </c>
      <c r="AH49" s="65" t="str">
        <v>0</v>
      </c>
      <c r="AI49" s="70" t="str">
        <v>1</v>
      </c>
      <c r="AJ49" s="70" t="str">
        <v>0</v>
      </c>
      <c r="AK49" s="70" t="str">
        <v>0</v>
      </c>
      <c r="AL49" s="70" t="str">
        <v>0</v>
      </c>
      <c r="AM49" s="540" t="str">
        <v>0</v>
      </c>
    </row>
    <row r="50" spans="1:40" ht="15.75" thickTop="1" x14ac:dyDescent="0.25">
      <c r="A50" s="86"/>
      <c r="B50" s="87" t="s">
        <v>260</v>
      </c>
      <c r="C50" s="467">
        <f>C48 + D49</f>
        <v>262172</v>
      </c>
      <c r="D50" s="467"/>
      <c r="E50" s="467"/>
      <c r="F50" s="468"/>
      <c r="G50" s="63" t="s">
        <v>261</v>
      </c>
      <c r="Y50" s="48"/>
      <c r="Z50" s="79"/>
    </row>
    <row r="51" spans="1:40" ht="18.75" thickBot="1" x14ac:dyDescent="0.4">
      <c r="A51" s="90" t="s">
        <v>258</v>
      </c>
      <c r="B51" s="91" t="str">
        <f>O49</f>
        <v>beq</v>
      </c>
      <c r="C51" s="471" t="str">
        <f>"0x"&amp;DEC2HEX(C50,8)</f>
        <v>0x0004001C</v>
      </c>
      <c r="D51" s="471"/>
      <c r="E51" s="471"/>
      <c r="F51" s="472"/>
      <c r="G51" s="3" t="s">
        <v>256</v>
      </c>
      <c r="H51" s="72" t="str" cm="1">
        <f t="array" ref="H51:AM51">MID(MyHex2Bin(C51,32),_xlfn.SEQUENCE(1,32),1)</f>
        <v>0</v>
      </c>
      <c r="I51" s="72" t="str">
        <v>0</v>
      </c>
      <c r="J51" s="72" t="str">
        <v>0</v>
      </c>
      <c r="K51" s="72" t="str">
        <v>0</v>
      </c>
      <c r="L51" s="72" t="str">
        <v>0</v>
      </c>
      <c r="M51" s="72" t="str">
        <v>0</v>
      </c>
      <c r="N51" s="72" t="str">
        <v>0</v>
      </c>
      <c r="O51" s="72" t="str">
        <v>0</v>
      </c>
      <c r="P51" s="72" t="str">
        <v>0</v>
      </c>
      <c r="Q51" s="72" t="str">
        <v>0</v>
      </c>
      <c r="R51" s="72" t="str">
        <v>0</v>
      </c>
      <c r="S51" s="72" t="str">
        <v>0</v>
      </c>
      <c r="T51" s="72" t="str">
        <v>0</v>
      </c>
      <c r="U51" s="72" t="str">
        <v>1</v>
      </c>
      <c r="V51" s="72" t="str">
        <v>0</v>
      </c>
      <c r="W51" s="72" t="str">
        <v>0</v>
      </c>
      <c r="X51" s="72" t="str">
        <v>0</v>
      </c>
      <c r="Y51" s="72" t="str">
        <v>0</v>
      </c>
      <c r="Z51" s="72" t="str">
        <v>0</v>
      </c>
      <c r="AA51" s="72" t="str">
        <v>0</v>
      </c>
      <c r="AB51" s="72" t="str">
        <v>0</v>
      </c>
      <c r="AC51" s="72" t="str">
        <v>0</v>
      </c>
      <c r="AD51" s="72" t="str">
        <v>0</v>
      </c>
      <c r="AE51" s="72" t="str">
        <v>0</v>
      </c>
      <c r="AF51" s="72" t="str">
        <v>0</v>
      </c>
      <c r="AG51" s="72" t="str">
        <v>0</v>
      </c>
      <c r="AH51" s="72" t="str">
        <v>0</v>
      </c>
      <c r="AI51" s="72" t="str">
        <v>1</v>
      </c>
      <c r="AJ51" s="73" t="str">
        <v>1</v>
      </c>
      <c r="AK51" s="73" t="str">
        <v>1</v>
      </c>
      <c r="AL51" s="73" t="str">
        <v>0</v>
      </c>
      <c r="AM51" s="541" t="str">
        <v>0</v>
      </c>
    </row>
    <row r="52" spans="1:40" ht="15.75" thickTop="1" x14ac:dyDescent="0.25">
      <c r="D52" s="23" t="s">
        <v>175</v>
      </c>
      <c r="E52" s="1" t="s">
        <v>247</v>
      </c>
      <c r="H52" s="2" cm="1">
        <f t="array" ref="H52:AM52">_xlfn.SEQUENCE(1,32,31,-1)</f>
        <v>31</v>
      </c>
      <c r="I52" s="2">
        <v>30</v>
      </c>
      <c r="J52" s="2">
        <v>29</v>
      </c>
      <c r="K52" s="2">
        <v>28</v>
      </c>
      <c r="L52" s="2">
        <v>27</v>
      </c>
      <c r="M52" s="2">
        <v>26</v>
      </c>
      <c r="N52" s="2">
        <v>25</v>
      </c>
      <c r="O52" s="2">
        <v>24</v>
      </c>
      <c r="P52" s="2">
        <v>23</v>
      </c>
      <c r="Q52" s="2">
        <v>22</v>
      </c>
      <c r="R52" s="2">
        <v>21</v>
      </c>
      <c r="S52" s="2">
        <v>20</v>
      </c>
      <c r="T52" s="2">
        <v>19</v>
      </c>
      <c r="U52" s="2">
        <v>18</v>
      </c>
      <c r="V52" s="2">
        <v>17</v>
      </c>
      <c r="W52" s="2">
        <v>16</v>
      </c>
      <c r="X52" s="2">
        <v>15</v>
      </c>
      <c r="Y52" s="2">
        <v>14</v>
      </c>
      <c r="Z52" s="2">
        <v>13</v>
      </c>
      <c r="AA52" s="2">
        <v>12</v>
      </c>
      <c r="AB52" s="2">
        <v>11</v>
      </c>
      <c r="AC52" s="2">
        <v>10</v>
      </c>
      <c r="AD52" s="2">
        <v>9</v>
      </c>
      <c r="AE52" s="2">
        <v>8</v>
      </c>
      <c r="AF52" s="2">
        <v>7</v>
      </c>
      <c r="AG52" s="2">
        <v>6</v>
      </c>
      <c r="AH52" s="2">
        <v>5</v>
      </c>
      <c r="AI52" s="2">
        <v>4</v>
      </c>
      <c r="AJ52" s="2">
        <v>3</v>
      </c>
      <c r="AK52" s="2">
        <v>2</v>
      </c>
      <c r="AL52" s="2">
        <v>1</v>
      </c>
      <c r="AM52" s="2">
        <v>0</v>
      </c>
    </row>
    <row r="53" spans="1:40" ht="15.75" thickBot="1" x14ac:dyDescent="0.3">
      <c r="C53" s="1"/>
      <c r="D53" s="1"/>
      <c r="E53" s="1"/>
      <c r="H53" s="449" t="s">
        <v>267</v>
      </c>
      <c r="I53" s="449"/>
      <c r="J53" s="449"/>
      <c r="K53" s="449"/>
      <c r="L53" s="449"/>
      <c r="M53" s="449"/>
      <c r="N53" s="449"/>
      <c r="O53" s="449" t="s">
        <v>266</v>
      </c>
      <c r="P53" s="449"/>
      <c r="Q53" s="449"/>
      <c r="R53" s="449"/>
      <c r="S53" s="449"/>
      <c r="T53" s="449" t="s">
        <v>243</v>
      </c>
      <c r="U53" s="449"/>
      <c r="V53" s="449"/>
      <c r="W53" s="449"/>
      <c r="X53" s="449"/>
      <c r="Y53" s="449" t="s">
        <v>249</v>
      </c>
      <c r="Z53" s="449"/>
      <c r="AA53" s="449"/>
      <c r="AB53" s="449" t="s">
        <v>268</v>
      </c>
      <c r="AC53" s="449"/>
      <c r="AD53" s="449"/>
      <c r="AE53" s="449"/>
      <c r="AF53" s="449"/>
      <c r="AG53" s="449" t="s">
        <v>50</v>
      </c>
      <c r="AH53" s="449"/>
      <c r="AI53" s="449"/>
      <c r="AJ53" s="449"/>
      <c r="AK53" s="449"/>
      <c r="AL53" s="449"/>
      <c r="AM53" s="449"/>
    </row>
    <row r="54" spans="1:40" ht="15.75" thickBot="1" x14ac:dyDescent="0.3">
      <c r="C54" s="1"/>
      <c r="D54" s="1"/>
      <c r="E54" s="1"/>
      <c r="G54" s="19" t="s">
        <v>250</v>
      </c>
      <c r="H54" s="451" t="str">
        <f>V49 &amp; " [12, 10:5]"</f>
        <v>0x10 [12, 10:5]</v>
      </c>
      <c r="I54" s="452"/>
      <c r="J54" s="452"/>
      <c r="K54" s="452"/>
      <c r="L54" s="452"/>
      <c r="M54" s="452"/>
      <c r="N54" s="453"/>
      <c r="O54" s="477" t="str">
        <f>T49</f>
        <v>t5</v>
      </c>
      <c r="P54" s="478"/>
      <c r="Q54" s="478"/>
      <c r="R54" s="478"/>
      <c r="S54" s="479"/>
      <c r="T54" s="432" t="str">
        <f>R49</f>
        <v>s0</v>
      </c>
      <c r="U54" s="433"/>
      <c r="V54" s="433"/>
      <c r="W54" s="433"/>
      <c r="X54" s="434"/>
      <c r="Y54" s="435" t="str">
        <f>O49</f>
        <v>beq</v>
      </c>
      <c r="Z54" s="436"/>
      <c r="AA54" s="437"/>
      <c r="AB54" s="454" t="str">
        <f>V49 &amp; " [4:1, 11]"</f>
        <v>0x10 [4:1, 11]</v>
      </c>
      <c r="AC54" s="455"/>
      <c r="AD54" s="455"/>
      <c r="AE54" s="455"/>
      <c r="AF54" s="456"/>
      <c r="AG54" s="435" t="str">
        <f>O49</f>
        <v>beq</v>
      </c>
      <c r="AH54" s="436"/>
      <c r="AI54" s="436"/>
      <c r="AJ54" s="436"/>
      <c r="AK54" s="436"/>
      <c r="AL54" s="436"/>
      <c r="AM54" s="437"/>
    </row>
    <row r="55" spans="1:40" ht="15.75" thickBot="1" x14ac:dyDescent="0.3">
      <c r="C55" s="1"/>
      <c r="D55" s="1"/>
      <c r="E55" s="1"/>
      <c r="G55" s="19" t="s">
        <v>251</v>
      </c>
      <c r="H55" s="99"/>
      <c r="I55" s="107"/>
      <c r="J55" s="100"/>
      <c r="K55" s="100"/>
      <c r="L55" s="100"/>
      <c r="M55" s="100"/>
      <c r="N55" s="101"/>
      <c r="O55" s="477">
        <f>VLOOKUP(O54,TableRegisters[],2,FALSE)</f>
        <v>30</v>
      </c>
      <c r="P55" s="478"/>
      <c r="Q55" s="478"/>
      <c r="R55" s="478"/>
      <c r="S55" s="479"/>
      <c r="T55" s="432">
        <f>VLOOKUP(T54,TableRegisters[],2,FALSE)</f>
        <v>8</v>
      </c>
      <c r="U55" s="433"/>
      <c r="V55" s="433"/>
      <c r="W55" s="433"/>
      <c r="X55" s="434"/>
      <c r="Y55" s="435">
        <f>VLOOKUP(Y54,TableOpcodes[],COL_FUNCT3,FALSE)</f>
        <v>0</v>
      </c>
      <c r="Z55" s="436"/>
      <c r="AA55" s="437"/>
      <c r="AB55" s="94"/>
      <c r="AC55" s="95"/>
      <c r="AD55" s="95"/>
      <c r="AE55" s="95"/>
      <c r="AF55" s="108"/>
      <c r="AG55" s="435">
        <f>VLOOKUP(AG54,TableOpcodes[],COL_OPCODE,FALSE)</f>
        <v>99</v>
      </c>
      <c r="AH55" s="436"/>
      <c r="AI55" s="436"/>
      <c r="AJ55" s="436"/>
      <c r="AK55" s="436"/>
      <c r="AL55" s="436"/>
      <c r="AM55" s="437"/>
    </row>
    <row r="56" spans="1:40" ht="15.75" thickBot="1" x14ac:dyDescent="0.3">
      <c r="G56" s="19" t="s">
        <v>252</v>
      </c>
      <c r="H56" s="68" t="str">
        <f>AA49</f>
        <v>0</v>
      </c>
      <c r="I56" s="109" t="str">
        <f t="shared" ref="I56:N56" si="0">AC49</f>
        <v>0</v>
      </c>
      <c r="J56" s="66" t="str">
        <f t="shared" si="0"/>
        <v>0</v>
      </c>
      <c r="K56" s="66" t="str">
        <f t="shared" si="0"/>
        <v>0</v>
      </c>
      <c r="L56" s="66" t="str">
        <f t="shared" si="0"/>
        <v>0</v>
      </c>
      <c r="M56" s="66" t="str">
        <f t="shared" si="0"/>
        <v>0</v>
      </c>
      <c r="N56" s="67" t="str">
        <f t="shared" si="0"/>
        <v>0</v>
      </c>
      <c r="O56" s="59" t="str" cm="1">
        <f t="array" ref="O56:S56">MID(DEC2BIN(O55,5),_xlfn.SEQUENCE(1,5),1)</f>
        <v>1</v>
      </c>
      <c r="P56" s="60" t="str">
        <v>1</v>
      </c>
      <c r="Q56" s="60" t="str">
        <v>1</v>
      </c>
      <c r="R56" s="60" t="str">
        <v>1</v>
      </c>
      <c r="S56" s="61" t="str">
        <v>0</v>
      </c>
      <c r="T56" s="44" t="str" cm="1">
        <f t="array" ref="T56:X56">MID(DEC2BIN(T55,5),_xlfn.SEQUENCE(1,5),1)</f>
        <v>0</v>
      </c>
      <c r="U56" s="45" t="str">
        <v>1</v>
      </c>
      <c r="V56" s="45" t="str">
        <v>0</v>
      </c>
      <c r="W56" s="45" t="str">
        <v>0</v>
      </c>
      <c r="X56" s="46" t="str">
        <v>0</v>
      </c>
      <c r="Y56" s="38" t="str" cm="1">
        <f t="array" ref="Y56:AA56">MID(DEC2BIN(Y55,3),_xlfn.SEQUENCE(1,3),1)</f>
        <v>0</v>
      </c>
      <c r="Z56" s="39" t="str">
        <v>0</v>
      </c>
      <c r="AA56" s="40" t="str">
        <v>0</v>
      </c>
      <c r="AB56" s="71" t="str">
        <f>AI49</f>
        <v>1</v>
      </c>
      <c r="AC56" s="58" t="str">
        <f>AJ49</f>
        <v>0</v>
      </c>
      <c r="AD56" s="58" t="str">
        <f>AK49</f>
        <v>0</v>
      </c>
      <c r="AE56" s="58" t="str">
        <f>AL49</f>
        <v>0</v>
      </c>
      <c r="AF56" s="112" t="str">
        <f>AB49</f>
        <v>0</v>
      </c>
      <c r="AG56" s="38" t="str" cm="1">
        <f t="array" ref="AG56:AM56">MID(DEC2BIN(AG55,7),_xlfn.SEQUENCE(1,7),1)</f>
        <v>1</v>
      </c>
      <c r="AH56" s="39" t="str">
        <v>1</v>
      </c>
      <c r="AI56" s="39" t="str">
        <v>0</v>
      </c>
      <c r="AJ56" s="118" t="str">
        <v>0</v>
      </c>
      <c r="AK56" s="118" t="str">
        <v>0</v>
      </c>
      <c r="AL56" s="118" t="str">
        <v>1</v>
      </c>
      <c r="AM56" s="119" t="str">
        <v>1</v>
      </c>
    </row>
    <row r="57" spans="1:40" ht="15.75" thickBot="1" x14ac:dyDescent="0.3">
      <c r="G57" s="19" t="s">
        <v>253</v>
      </c>
      <c r="H57" s="438" t="str">
        <f>BIN2HEX(H56&amp;I56&amp;J56&amp;K56,1)</f>
        <v>0</v>
      </c>
      <c r="I57" s="439"/>
      <c r="J57" s="439"/>
      <c r="K57" s="439"/>
      <c r="L57" s="438" t="str">
        <f>BIN2HEX(L56&amp;M56&amp;N56&amp;O56,1)</f>
        <v>1</v>
      </c>
      <c r="M57" s="439"/>
      <c r="N57" s="439"/>
      <c r="O57" s="439"/>
      <c r="P57" s="438" t="str">
        <f>BIN2HEX(P56&amp;Q56&amp;R56&amp;S56,1)</f>
        <v>E</v>
      </c>
      <c r="Q57" s="439"/>
      <c r="R57" s="439"/>
      <c r="S57" s="439"/>
      <c r="T57" s="438" t="str">
        <f>BIN2HEX(T56&amp;U56&amp;V56&amp;W56,1)</f>
        <v>4</v>
      </c>
      <c r="U57" s="439"/>
      <c r="V57" s="439"/>
      <c r="W57" s="439"/>
      <c r="X57" s="438" t="str">
        <f>BIN2HEX(X56&amp;Y56&amp;Z56&amp;AA56,1)</f>
        <v>0</v>
      </c>
      <c r="Y57" s="439"/>
      <c r="Z57" s="439"/>
      <c r="AA57" s="439"/>
      <c r="AB57" s="438" t="str">
        <f>BIN2HEX(AB56&amp;AC56&amp;AD56&amp;AE56,1)</f>
        <v>8</v>
      </c>
      <c r="AC57" s="439"/>
      <c r="AD57" s="439"/>
      <c r="AE57" s="439"/>
      <c r="AF57" s="438" t="str">
        <f>BIN2HEX(AF56&amp;AG56&amp;AH56&amp;AI56,1)</f>
        <v>6</v>
      </c>
      <c r="AG57" s="439"/>
      <c r="AH57" s="439"/>
      <c r="AI57" s="439"/>
      <c r="AJ57" s="440" t="str">
        <f>BIN2HEX(AJ56&amp;AK56&amp;AL56&amp;AM56,1)</f>
        <v>3</v>
      </c>
      <c r="AK57" s="441"/>
      <c r="AL57" s="441"/>
      <c r="AM57" s="442"/>
      <c r="AN57" s="31"/>
    </row>
    <row r="58" spans="1:40" ht="15.75" thickBot="1" x14ac:dyDescent="0.3"/>
    <row r="59" spans="1:40" ht="15.75" thickBot="1" x14ac:dyDescent="0.3">
      <c r="G59" s="509" t="s">
        <v>454</v>
      </c>
      <c r="H59" s="521" t="s">
        <v>272</v>
      </c>
      <c r="I59" s="522"/>
      <c r="J59" s="522"/>
      <c r="K59" s="522"/>
      <c r="L59" s="522"/>
      <c r="M59" s="522"/>
      <c r="N59" s="523"/>
      <c r="O59" s="530" t="s">
        <v>266</v>
      </c>
      <c r="P59" s="531"/>
      <c r="Q59" s="531"/>
      <c r="R59" s="531"/>
      <c r="S59" s="532"/>
      <c r="T59" s="533" t="s">
        <v>243</v>
      </c>
      <c r="U59" s="534"/>
      <c r="V59" s="534"/>
      <c r="W59" s="534"/>
      <c r="X59" s="535"/>
      <c r="Y59" s="510" t="s">
        <v>249</v>
      </c>
      <c r="Z59" s="511"/>
      <c r="AA59" s="511"/>
      <c r="AB59" s="536" t="s">
        <v>242</v>
      </c>
      <c r="AC59" s="537"/>
      <c r="AD59" s="537"/>
      <c r="AE59" s="537"/>
      <c r="AF59" s="538"/>
      <c r="AG59" s="516" t="s">
        <v>50</v>
      </c>
      <c r="AH59" s="516"/>
      <c r="AI59" s="516"/>
      <c r="AJ59" s="516"/>
      <c r="AK59" s="516"/>
      <c r="AL59" s="516"/>
      <c r="AM59" s="520"/>
    </row>
    <row r="66" spans="3:39" ht="15.75" thickBot="1" x14ac:dyDescent="0.3">
      <c r="G66" s="78"/>
      <c r="O66" s="33"/>
      <c r="P66" s="33"/>
      <c r="Q66" s="33"/>
      <c r="R66" s="62" t="s">
        <v>266</v>
      </c>
      <c r="S66" s="33"/>
      <c r="T66" s="62" t="s">
        <v>243</v>
      </c>
      <c r="V66" s="82" t="s">
        <v>244</v>
      </c>
      <c r="Y66" s="31"/>
      <c r="AA66" s="83"/>
      <c r="AB66" s="424" t="str">
        <f>BIN2HEX(AB67&amp;AC67&amp;AD67&amp;AE67,1)</f>
        <v>1</v>
      </c>
      <c r="AC66" s="425"/>
      <c r="AD66" s="425"/>
      <c r="AE66" s="425"/>
      <c r="AF66" s="426" t="str">
        <f>BIN2HEX(AF67&amp;AG67&amp;AH67&amp;AI67,1)</f>
        <v>5</v>
      </c>
      <c r="AG66" s="427"/>
      <c r="AH66" s="427"/>
      <c r="AI66" s="427"/>
      <c r="AJ66" s="426" t="str">
        <f>BIN2HEX(AJ67&amp;AK67&amp;AL67&amp;AM67,1)</f>
        <v>0</v>
      </c>
      <c r="AK66" s="427"/>
      <c r="AL66" s="427"/>
      <c r="AM66" s="428"/>
    </row>
    <row r="67" spans="3:39" ht="15.75" thickBot="1" x14ac:dyDescent="0.3">
      <c r="G67" t="s">
        <v>245</v>
      </c>
      <c r="O67" s="435" t="s">
        <v>114</v>
      </c>
      <c r="P67" s="436"/>
      <c r="Q67" s="437"/>
      <c r="R67" s="429" t="s">
        <v>129</v>
      </c>
      <c r="S67" s="430"/>
      <c r="T67" s="432" t="s">
        <v>164</v>
      </c>
      <c r="U67" s="433"/>
      <c r="V67" s="454" t="s">
        <v>269</v>
      </c>
      <c r="W67" s="455"/>
      <c r="X67" s="456"/>
      <c r="Y67" s="75" t="s">
        <v>246</v>
      </c>
      <c r="Z67" s="74"/>
      <c r="AA67" t="s">
        <v>256</v>
      </c>
      <c r="AB67" s="69" t="str" cm="1">
        <f t="array" ref="AB67:AM67">MID(MyHex2Bin($V$67,12),_xlfn.SEQUENCE(1,12),1)</f>
        <v>0</v>
      </c>
      <c r="AC67" s="65" t="str">
        <v>0</v>
      </c>
      <c r="AD67" s="65" t="str">
        <v>0</v>
      </c>
      <c r="AE67" s="65" t="str">
        <v>1</v>
      </c>
      <c r="AF67" s="65" t="str">
        <v>0</v>
      </c>
      <c r="AG67" s="65" t="str">
        <v>1</v>
      </c>
      <c r="AH67" s="65" t="str">
        <v>0</v>
      </c>
      <c r="AI67" s="130" t="str">
        <v>1</v>
      </c>
      <c r="AJ67" s="130" t="str">
        <v>0</v>
      </c>
      <c r="AK67" s="130" t="str">
        <v>0</v>
      </c>
      <c r="AL67" s="130" t="str">
        <v>0</v>
      </c>
      <c r="AM67" s="130" t="str">
        <v>0</v>
      </c>
    </row>
    <row r="68" spans="3:39" x14ac:dyDescent="0.25">
      <c r="G68" s="63"/>
      <c r="Y68" s="48"/>
      <c r="Z68" s="63"/>
    </row>
    <row r="69" spans="3:39" ht="20.25" thickBot="1" x14ac:dyDescent="0.35">
      <c r="D69" s="126" t="s">
        <v>105</v>
      </c>
      <c r="E69" s="1" t="s">
        <v>247</v>
      </c>
      <c r="H69" s="2" cm="1">
        <f t="array" ref="H69:AM69">_xlfn.SEQUENCE(1,32,31,-1)</f>
        <v>31</v>
      </c>
      <c r="I69" s="2">
        <v>30</v>
      </c>
      <c r="J69" s="2">
        <v>29</v>
      </c>
      <c r="K69" s="2">
        <v>28</v>
      </c>
      <c r="L69" s="2">
        <v>27</v>
      </c>
      <c r="M69" s="2">
        <v>26</v>
      </c>
      <c r="N69" s="2">
        <v>25</v>
      </c>
      <c r="O69" s="2">
        <v>24</v>
      </c>
      <c r="P69" s="2">
        <v>23</v>
      </c>
      <c r="Q69" s="2">
        <v>22</v>
      </c>
      <c r="R69" s="2">
        <v>21</v>
      </c>
      <c r="S69" s="2">
        <v>20</v>
      </c>
      <c r="T69" s="2">
        <v>19</v>
      </c>
      <c r="U69" s="2">
        <v>18</v>
      </c>
      <c r="V69" s="2">
        <v>17</v>
      </c>
      <c r="W69" s="2">
        <v>16</v>
      </c>
      <c r="X69" s="2">
        <v>15</v>
      </c>
      <c r="Y69" s="2">
        <v>14</v>
      </c>
      <c r="Z69" s="2">
        <v>13</v>
      </c>
      <c r="AA69" s="2">
        <v>12</v>
      </c>
      <c r="AB69" s="2">
        <v>11</v>
      </c>
      <c r="AC69" s="2">
        <v>10</v>
      </c>
      <c r="AD69" s="2">
        <v>9</v>
      </c>
      <c r="AE69" s="2">
        <v>8</v>
      </c>
      <c r="AF69" s="2">
        <v>7</v>
      </c>
      <c r="AG69" s="2">
        <v>6</v>
      </c>
      <c r="AH69" s="2">
        <v>5</v>
      </c>
      <c r="AI69" s="2">
        <v>4</v>
      </c>
      <c r="AJ69" s="2">
        <v>3</v>
      </c>
      <c r="AK69" s="2">
        <v>2</v>
      </c>
      <c r="AL69" s="2">
        <v>1</v>
      </c>
      <c r="AM69" s="2">
        <v>0</v>
      </c>
    </row>
    <row r="70" spans="3:39" ht="16.5" thickTop="1" thickBot="1" x14ac:dyDescent="0.3">
      <c r="C70" s="1"/>
      <c r="D70" s="1"/>
      <c r="E70" s="1"/>
      <c r="H70" s="449" t="s">
        <v>270</v>
      </c>
      <c r="I70" s="449"/>
      <c r="J70" s="449"/>
      <c r="K70" s="449"/>
      <c r="L70" s="449"/>
      <c r="M70" s="449"/>
      <c r="N70" s="449"/>
      <c r="O70" s="449" t="s">
        <v>266</v>
      </c>
      <c r="P70" s="449"/>
      <c r="Q70" s="449"/>
      <c r="R70" s="449"/>
      <c r="S70" s="449"/>
      <c r="T70" s="449" t="s">
        <v>243</v>
      </c>
      <c r="U70" s="449"/>
      <c r="V70" s="449"/>
      <c r="W70" s="449"/>
      <c r="X70" s="449"/>
      <c r="Y70" s="449" t="s">
        <v>249</v>
      </c>
      <c r="Z70" s="449"/>
      <c r="AA70" s="449"/>
      <c r="AB70" s="450" t="s">
        <v>271</v>
      </c>
      <c r="AC70" s="450"/>
      <c r="AD70" s="450"/>
      <c r="AE70" s="450"/>
      <c r="AF70" s="450"/>
      <c r="AG70" s="449" t="s">
        <v>50</v>
      </c>
      <c r="AH70" s="449"/>
      <c r="AI70" s="449"/>
      <c r="AJ70" s="449"/>
      <c r="AK70" s="449"/>
      <c r="AL70" s="449"/>
      <c r="AM70" s="449"/>
    </row>
    <row r="71" spans="3:39" ht="15.75" thickBot="1" x14ac:dyDescent="0.3">
      <c r="C71" s="1"/>
      <c r="D71" s="1"/>
      <c r="E71" s="1"/>
      <c r="G71" s="19" t="s">
        <v>250</v>
      </c>
      <c r="H71" s="451" t="str">
        <f>V67 &amp; "  [11:5]"</f>
        <v>0x150  [11:5]</v>
      </c>
      <c r="I71" s="452"/>
      <c r="J71" s="452"/>
      <c r="K71" s="452"/>
      <c r="L71" s="452"/>
      <c r="M71" s="452"/>
      <c r="N71" s="453"/>
      <c r="O71" s="429" t="str">
        <f>R67</f>
        <v>s5</v>
      </c>
      <c r="P71" s="430"/>
      <c r="Q71" s="430"/>
      <c r="R71" s="430"/>
      <c r="S71" s="431"/>
      <c r="T71" s="432" t="str">
        <f>T67</f>
        <v>t3</v>
      </c>
      <c r="U71" s="433"/>
      <c r="V71" s="433"/>
      <c r="W71" s="433"/>
      <c r="X71" s="434"/>
      <c r="Y71" s="435" t="str">
        <f>O67</f>
        <v>sw</v>
      </c>
      <c r="Z71" s="436"/>
      <c r="AA71" s="436"/>
      <c r="AB71" s="454" t="str">
        <f>V67 &amp; "  [4:0]"</f>
        <v>0x150  [4:0]</v>
      </c>
      <c r="AC71" s="455"/>
      <c r="AD71" s="455"/>
      <c r="AE71" s="455"/>
      <c r="AF71" s="456"/>
      <c r="AG71" s="436" t="str">
        <f>O67</f>
        <v>sw</v>
      </c>
      <c r="AH71" s="436"/>
      <c r="AI71" s="436"/>
      <c r="AJ71" s="436"/>
      <c r="AK71" s="436"/>
      <c r="AL71" s="436"/>
      <c r="AM71" s="437"/>
    </row>
    <row r="72" spans="3:39" ht="15.75" thickBot="1" x14ac:dyDescent="0.3">
      <c r="C72" s="1"/>
      <c r="D72" s="1"/>
      <c r="E72" s="1"/>
      <c r="G72" s="19" t="s">
        <v>251</v>
      </c>
      <c r="H72" s="99"/>
      <c r="I72" s="100"/>
      <c r="J72" s="100"/>
      <c r="K72" s="100"/>
      <c r="L72" s="100"/>
      <c r="M72" s="100"/>
      <c r="N72" s="101"/>
      <c r="O72" s="429">
        <f>VLOOKUP(O71,TableRegisters[],2,FALSE)</f>
        <v>21</v>
      </c>
      <c r="P72" s="430"/>
      <c r="Q72" s="430"/>
      <c r="R72" s="430"/>
      <c r="S72" s="431"/>
      <c r="T72" s="432">
        <f>VLOOKUP(T71,TableRegisters[],2,FALSE)</f>
        <v>28</v>
      </c>
      <c r="U72" s="433"/>
      <c r="V72" s="433"/>
      <c r="W72" s="433"/>
      <c r="X72" s="434"/>
      <c r="Y72" s="435">
        <f>VLOOKUP(Y71,TableOpcodes[],COL_FUNCT3,FALSE)</f>
        <v>2</v>
      </c>
      <c r="Z72" s="436"/>
      <c r="AA72" s="437"/>
      <c r="AB72" s="94"/>
      <c r="AC72" s="95"/>
      <c r="AD72" s="95"/>
      <c r="AE72" s="95"/>
      <c r="AF72" s="96"/>
      <c r="AG72" s="435">
        <f>VLOOKUP(AG71,TableOpcodes[],COL_OPCODE,FALSE)</f>
        <v>35</v>
      </c>
      <c r="AH72" s="436"/>
      <c r="AI72" s="436"/>
      <c r="AJ72" s="436"/>
      <c r="AK72" s="436"/>
      <c r="AL72" s="436"/>
      <c r="AM72" s="437"/>
    </row>
    <row r="73" spans="3:39" ht="15.75" thickBot="1" x14ac:dyDescent="0.3">
      <c r="G73" s="19" t="s">
        <v>252</v>
      </c>
      <c r="H73" s="68" t="str">
        <f>AB67</f>
        <v>0</v>
      </c>
      <c r="I73" s="66" t="str">
        <f t="shared" ref="I73" si="1">AC67</f>
        <v>0</v>
      </c>
      <c r="J73" s="66" t="str">
        <f t="shared" ref="J73" si="2">AD67</f>
        <v>0</v>
      </c>
      <c r="K73" s="66" t="str">
        <f t="shared" ref="K73" si="3">AE67</f>
        <v>1</v>
      </c>
      <c r="L73" s="66" t="str">
        <f t="shared" ref="L73" si="4">AF67</f>
        <v>0</v>
      </c>
      <c r="M73" s="66" t="str">
        <f t="shared" ref="M73" si="5">AG67</f>
        <v>1</v>
      </c>
      <c r="N73" s="67" t="str">
        <f t="shared" ref="N73" si="6">AH67</f>
        <v>0</v>
      </c>
      <c r="O73" s="59" t="str" cm="1">
        <f t="array" ref="O73:S73">MID(DEC2BIN(O72,5),_xlfn.SEQUENCE(1,5),1)</f>
        <v>1</v>
      </c>
      <c r="P73" s="60" t="str">
        <v>0</v>
      </c>
      <c r="Q73" s="60" t="str">
        <v>1</v>
      </c>
      <c r="R73" s="60" t="str">
        <v>0</v>
      </c>
      <c r="S73" s="61" t="str">
        <v>1</v>
      </c>
      <c r="T73" s="44" t="str" cm="1">
        <f t="array" ref="T73:X73">MID(DEC2BIN(T72,5),_xlfn.SEQUENCE(1,5),1)</f>
        <v>1</v>
      </c>
      <c r="U73" s="45" t="str">
        <v>1</v>
      </c>
      <c r="V73" s="45" t="str">
        <v>1</v>
      </c>
      <c r="W73" s="45" t="str">
        <v>0</v>
      </c>
      <c r="X73" s="46" t="str">
        <v>0</v>
      </c>
      <c r="Y73" s="38" t="str" cm="1">
        <f t="array" ref="Y73:AA73">MID(DEC2BIN(Y72,3),_xlfn.SEQUENCE(1,3),1)</f>
        <v>0</v>
      </c>
      <c r="Z73" s="39" t="str">
        <v>1</v>
      </c>
      <c r="AA73" s="40" t="str">
        <v>0</v>
      </c>
      <c r="AB73" s="127" t="str">
        <f>AI67</f>
        <v>1</v>
      </c>
      <c r="AC73" s="128" t="str">
        <f>AJ67</f>
        <v>0</v>
      </c>
      <c r="AD73" s="128" t="str">
        <f>AK67</f>
        <v>0</v>
      </c>
      <c r="AE73" s="128" t="str">
        <f>AL67</f>
        <v>0</v>
      </c>
      <c r="AF73" s="129" t="str">
        <f>AM67</f>
        <v>0</v>
      </c>
      <c r="AG73" s="38" t="str" cm="1">
        <f t="array" ref="AG73:AM73">MID(DEC2BIN(AG72,7),_xlfn.SEQUENCE(1,7),1)</f>
        <v>0</v>
      </c>
      <c r="AH73" s="39" t="str">
        <v>1</v>
      </c>
      <c r="AI73" s="39" t="str">
        <v>0</v>
      </c>
      <c r="AJ73" s="118" t="str">
        <v>0</v>
      </c>
      <c r="AK73" s="118" t="str">
        <v>0</v>
      </c>
      <c r="AL73" s="118" t="str">
        <v>1</v>
      </c>
      <c r="AM73" s="119" t="str">
        <v>1</v>
      </c>
    </row>
    <row r="74" spans="3:39" ht="15.75" thickBot="1" x14ac:dyDescent="0.3">
      <c r="G74" s="19" t="s">
        <v>253</v>
      </c>
      <c r="H74" s="438" t="str">
        <f>BIN2HEX(H73&amp;I73&amp;J73&amp;K73,1)</f>
        <v>1</v>
      </c>
      <c r="I74" s="439"/>
      <c r="J74" s="439"/>
      <c r="K74" s="439"/>
      <c r="L74" s="438" t="str">
        <f>BIN2HEX(L73&amp;M73&amp;N73&amp;O73,1)</f>
        <v>5</v>
      </c>
      <c r="M74" s="439"/>
      <c r="N74" s="439"/>
      <c r="O74" s="439"/>
      <c r="P74" s="438" t="str">
        <f>BIN2HEX(P73&amp;Q73&amp;R73&amp;S73,1)</f>
        <v>5</v>
      </c>
      <c r="Q74" s="439"/>
      <c r="R74" s="439"/>
      <c r="S74" s="439"/>
      <c r="T74" s="438" t="str">
        <f>BIN2HEX(T73&amp;U73&amp;V73&amp;W73,1)</f>
        <v>E</v>
      </c>
      <c r="U74" s="439"/>
      <c r="V74" s="439"/>
      <c r="W74" s="439"/>
      <c r="X74" s="438" t="str">
        <f>BIN2HEX(X73&amp;Y73&amp;Z73&amp;AA73,1)</f>
        <v>2</v>
      </c>
      <c r="Y74" s="439"/>
      <c r="Z74" s="439"/>
      <c r="AA74" s="439"/>
      <c r="AB74" s="438" t="str">
        <f>BIN2HEX(AB73&amp;AC73&amp;AD73&amp;AE73,1)</f>
        <v>8</v>
      </c>
      <c r="AC74" s="439"/>
      <c r="AD74" s="439"/>
      <c r="AE74" s="439"/>
      <c r="AF74" s="438" t="str">
        <f>BIN2HEX(AF73&amp;AG73&amp;AH73&amp;AI73,1)</f>
        <v>2</v>
      </c>
      <c r="AG74" s="439"/>
      <c r="AH74" s="439"/>
      <c r="AI74" s="439"/>
      <c r="AJ74" s="440" t="str">
        <f>BIN2HEX(AJ73&amp;AK73&amp;AL73&amp;AM73,1)</f>
        <v>3</v>
      </c>
      <c r="AK74" s="441"/>
      <c r="AL74" s="441"/>
      <c r="AM74" s="442"/>
    </row>
    <row r="75" spans="3:39" ht="15.75" thickBot="1" x14ac:dyDescent="0.3"/>
    <row r="76" spans="3:39" ht="15.75" thickBot="1" x14ac:dyDescent="0.3">
      <c r="G76" s="509" t="s">
        <v>454</v>
      </c>
      <c r="H76" s="521" t="s">
        <v>272</v>
      </c>
      <c r="I76" s="522"/>
      <c r="J76" s="522"/>
      <c r="K76" s="522"/>
      <c r="L76" s="522"/>
      <c r="M76" s="522"/>
      <c r="N76" s="523"/>
      <c r="O76" s="530" t="s">
        <v>266</v>
      </c>
      <c r="P76" s="531"/>
      <c r="Q76" s="531"/>
      <c r="R76" s="531"/>
      <c r="S76" s="532"/>
      <c r="T76" s="533" t="s">
        <v>243</v>
      </c>
      <c r="U76" s="534"/>
      <c r="V76" s="534"/>
      <c r="W76" s="534"/>
      <c r="X76" s="535"/>
      <c r="Y76" s="510" t="s">
        <v>249</v>
      </c>
      <c r="Z76" s="511"/>
      <c r="AA76" s="511"/>
      <c r="AB76" s="536" t="s">
        <v>242</v>
      </c>
      <c r="AC76" s="537"/>
      <c r="AD76" s="537"/>
      <c r="AE76" s="537"/>
      <c r="AF76" s="538"/>
      <c r="AG76" s="516" t="s">
        <v>50</v>
      </c>
      <c r="AH76" s="516"/>
      <c r="AI76" s="516"/>
      <c r="AJ76" s="516"/>
      <c r="AK76" s="516"/>
      <c r="AL76" s="516"/>
      <c r="AM76" s="520"/>
    </row>
    <row r="81" spans="3:41" ht="15.75" thickBot="1" x14ac:dyDescent="0.3">
      <c r="G81" s="78"/>
      <c r="O81" s="33"/>
      <c r="P81" s="33"/>
      <c r="Q81" s="33"/>
      <c r="R81" s="62" t="s">
        <v>242</v>
      </c>
      <c r="S81" s="33"/>
      <c r="T81" s="62" t="s">
        <v>243</v>
      </c>
      <c r="V81" s="62" t="s">
        <v>266</v>
      </c>
      <c r="W81" s="33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</row>
    <row r="82" spans="3:41" ht="15.75" thickBot="1" x14ac:dyDescent="0.3">
      <c r="G82" t="s">
        <v>245</v>
      </c>
      <c r="O82" s="435" t="s">
        <v>151</v>
      </c>
      <c r="P82" s="436"/>
      <c r="Q82" s="437"/>
      <c r="R82" s="443" t="s">
        <v>40</v>
      </c>
      <c r="S82" s="444"/>
      <c r="T82" s="432" t="s">
        <v>74</v>
      </c>
      <c r="U82" s="433"/>
      <c r="V82" s="429" t="s">
        <v>61</v>
      </c>
      <c r="W82" s="431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</row>
    <row r="83" spans="3:41" x14ac:dyDescent="0.25">
      <c r="G83" s="63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</row>
    <row r="84" spans="3:41" ht="20.25" thickBot="1" x14ac:dyDescent="0.35">
      <c r="D84" s="126" t="s">
        <v>119</v>
      </c>
      <c r="E84" s="1" t="s">
        <v>247</v>
      </c>
      <c r="H84" s="2" cm="1">
        <f t="array" ref="H84:AM84">_xlfn.SEQUENCE(1,32,31,-1)</f>
        <v>31</v>
      </c>
      <c r="I84" s="2">
        <v>30</v>
      </c>
      <c r="J84" s="2">
        <v>29</v>
      </c>
      <c r="K84" s="2">
        <v>28</v>
      </c>
      <c r="L84" s="2">
        <v>27</v>
      </c>
      <c r="M84" s="2">
        <v>26</v>
      </c>
      <c r="N84" s="2">
        <v>25</v>
      </c>
      <c r="O84" s="2">
        <v>24</v>
      </c>
      <c r="P84" s="2">
        <v>23</v>
      </c>
      <c r="Q84" s="2">
        <v>22</v>
      </c>
      <c r="R84" s="2">
        <v>21</v>
      </c>
      <c r="S84" s="2">
        <v>20</v>
      </c>
      <c r="T84" s="2">
        <v>19</v>
      </c>
      <c r="U84" s="2">
        <v>18</v>
      </c>
      <c r="V84" s="2">
        <v>17</v>
      </c>
      <c r="W84" s="2">
        <v>16</v>
      </c>
      <c r="X84" s="2">
        <v>15</v>
      </c>
      <c r="Y84" s="2">
        <v>14</v>
      </c>
      <c r="Z84" s="2">
        <v>13</v>
      </c>
      <c r="AA84" s="2">
        <v>12</v>
      </c>
      <c r="AB84" s="2">
        <v>11</v>
      </c>
      <c r="AC84" s="2">
        <v>10</v>
      </c>
      <c r="AD84" s="2">
        <v>9</v>
      </c>
      <c r="AE84" s="2">
        <v>8</v>
      </c>
      <c r="AF84" s="2">
        <v>7</v>
      </c>
      <c r="AG84" s="2">
        <v>6</v>
      </c>
      <c r="AH84" s="2">
        <v>5</v>
      </c>
      <c r="AI84" s="2">
        <v>4</v>
      </c>
      <c r="AJ84" s="2">
        <v>3</v>
      </c>
      <c r="AK84" s="2">
        <v>2</v>
      </c>
      <c r="AL84" s="2">
        <v>1</v>
      </c>
      <c r="AM84" s="2">
        <v>0</v>
      </c>
    </row>
    <row r="85" spans="3:41" ht="16.5" thickTop="1" thickBot="1" x14ac:dyDescent="0.3">
      <c r="C85" s="1"/>
      <c r="D85" s="1"/>
      <c r="E85" s="1"/>
      <c r="H85" s="449" t="s">
        <v>272</v>
      </c>
      <c r="I85" s="449"/>
      <c r="J85" s="449"/>
      <c r="K85" s="449"/>
      <c r="L85" s="449"/>
      <c r="M85" s="449"/>
      <c r="N85" s="449"/>
      <c r="O85" s="449" t="s">
        <v>266</v>
      </c>
      <c r="P85" s="449"/>
      <c r="Q85" s="449"/>
      <c r="R85" s="449"/>
      <c r="S85" s="449"/>
      <c r="T85" s="449" t="s">
        <v>243</v>
      </c>
      <c r="U85" s="449"/>
      <c r="V85" s="449"/>
      <c r="W85" s="449"/>
      <c r="X85" s="449"/>
      <c r="Y85" s="449" t="s">
        <v>249</v>
      </c>
      <c r="Z85" s="449"/>
      <c r="AA85" s="449"/>
      <c r="AB85" s="450" t="s">
        <v>242</v>
      </c>
      <c r="AC85" s="450"/>
      <c r="AD85" s="450"/>
      <c r="AE85" s="450"/>
      <c r="AF85" s="450"/>
      <c r="AG85" s="449" t="s">
        <v>50</v>
      </c>
      <c r="AH85" s="449"/>
      <c r="AI85" s="449"/>
      <c r="AJ85" s="449"/>
      <c r="AK85" s="449"/>
      <c r="AL85" s="449"/>
      <c r="AM85" s="449"/>
    </row>
    <row r="86" spans="3:41" ht="15.75" thickBot="1" x14ac:dyDescent="0.3">
      <c r="C86" s="1"/>
      <c r="D86" s="1"/>
      <c r="E86" s="1"/>
      <c r="G86" s="19" t="s">
        <v>250</v>
      </c>
      <c r="H86" s="446" t="str">
        <f>O82</f>
        <v>srl</v>
      </c>
      <c r="I86" s="447"/>
      <c r="J86" s="447"/>
      <c r="K86" s="447"/>
      <c r="L86" s="447"/>
      <c r="M86" s="447"/>
      <c r="N86" s="448"/>
      <c r="O86" s="429" t="str">
        <f>V82</f>
        <v>t2</v>
      </c>
      <c r="P86" s="430"/>
      <c r="Q86" s="430"/>
      <c r="R86" s="430"/>
      <c r="S86" s="431"/>
      <c r="T86" s="432" t="str">
        <f>T82</f>
        <v>a0</v>
      </c>
      <c r="U86" s="433"/>
      <c r="V86" s="433"/>
      <c r="W86" s="433"/>
      <c r="X86" s="434"/>
      <c r="Y86" s="435" t="str">
        <f>O82</f>
        <v>srl</v>
      </c>
      <c r="Z86" s="436"/>
      <c r="AA86" s="436"/>
      <c r="AB86" s="443" t="str">
        <f>R82</f>
        <v>gp</v>
      </c>
      <c r="AC86" s="444"/>
      <c r="AD86" s="444"/>
      <c r="AE86" s="444"/>
      <c r="AF86" s="445"/>
      <c r="AG86" s="436" t="str">
        <f>O82</f>
        <v>srl</v>
      </c>
      <c r="AH86" s="436"/>
      <c r="AI86" s="436"/>
      <c r="AJ86" s="436"/>
      <c r="AK86" s="436"/>
      <c r="AL86" s="436"/>
      <c r="AM86" s="437"/>
    </row>
    <row r="87" spans="3:41" ht="15.75" thickBot="1" x14ac:dyDescent="0.3">
      <c r="C87" s="1"/>
      <c r="D87" s="1"/>
      <c r="E87" s="1"/>
      <c r="G87" s="19" t="s">
        <v>251</v>
      </c>
      <c r="H87" s="446" cm="1">
        <f t="array" ref="H87">VLOOKUP(AG86,TableOpcodes[],COL_FUNCT7,FALSE)</f>
        <v>0</v>
      </c>
      <c r="I87" s="447"/>
      <c r="J87" s="447"/>
      <c r="K87" s="447"/>
      <c r="L87" s="447"/>
      <c r="M87" s="447"/>
      <c r="N87" s="448"/>
      <c r="O87" s="429">
        <f>VLOOKUP(O86,TableRegisters[],2,FALSE)</f>
        <v>7</v>
      </c>
      <c r="P87" s="430"/>
      <c r="Q87" s="430"/>
      <c r="R87" s="430"/>
      <c r="S87" s="431"/>
      <c r="T87" s="432">
        <f>VLOOKUP(T86,TableRegisters[],2,FALSE)</f>
        <v>10</v>
      </c>
      <c r="U87" s="433"/>
      <c r="V87" s="433"/>
      <c r="W87" s="433"/>
      <c r="X87" s="434"/>
      <c r="Y87" s="435">
        <f>VLOOKUP(Y86,TableOpcodes[],COL_FUNCT3,FALSE)</f>
        <v>5</v>
      </c>
      <c r="Z87" s="436"/>
      <c r="AA87" s="437"/>
      <c r="AB87" s="443">
        <f>VLOOKUP(AB86,TableRegisters[],2,FALSE)</f>
        <v>3</v>
      </c>
      <c r="AC87" s="444"/>
      <c r="AD87" s="444"/>
      <c r="AE87" s="444"/>
      <c r="AF87" s="445"/>
      <c r="AG87" s="435">
        <f>VLOOKUP(AG86,TableOpcodes[],COL_OPCODE,FALSE)</f>
        <v>51</v>
      </c>
      <c r="AH87" s="436"/>
      <c r="AI87" s="436"/>
      <c r="AJ87" s="436"/>
      <c r="AK87" s="436"/>
      <c r="AL87" s="436"/>
      <c r="AM87" s="437"/>
    </row>
    <row r="88" spans="3:41" ht="15.75" thickBot="1" x14ac:dyDescent="0.3">
      <c r="G88" s="19" t="s">
        <v>252</v>
      </c>
      <c r="H88" s="135" t="str" cm="1">
        <f t="array" ref="H88:N88">MID(DEC2BIN(H87,7),_xlfn.SEQUENCE(1,7),1)</f>
        <v>0</v>
      </c>
      <c r="I88" s="136" t="str">
        <v>0</v>
      </c>
      <c r="J88" s="136" t="str">
        <v>0</v>
      </c>
      <c r="K88" s="136" t="str">
        <v>0</v>
      </c>
      <c r="L88" s="136" t="str">
        <v>0</v>
      </c>
      <c r="M88" s="136" t="str">
        <v>0</v>
      </c>
      <c r="N88" s="137" t="str">
        <v>0</v>
      </c>
      <c r="O88" s="59" t="str" cm="1">
        <f t="array" ref="O88:S88">MID(DEC2BIN(O87,5),_xlfn.SEQUENCE(1,5),1)</f>
        <v>0</v>
      </c>
      <c r="P88" s="60" t="str">
        <v>0</v>
      </c>
      <c r="Q88" s="60" t="str">
        <v>1</v>
      </c>
      <c r="R88" s="60" t="str">
        <v>1</v>
      </c>
      <c r="S88" s="61" t="str">
        <v>1</v>
      </c>
      <c r="T88" s="44" t="str" cm="1">
        <f t="array" ref="T88:X88">MID(DEC2BIN(T87,5),_xlfn.SEQUENCE(1,5),1)</f>
        <v>0</v>
      </c>
      <c r="U88" s="45" t="str">
        <v>1</v>
      </c>
      <c r="V88" s="45" t="str">
        <v>0</v>
      </c>
      <c r="W88" s="45" t="str">
        <v>1</v>
      </c>
      <c r="X88" s="46" t="str">
        <v>0</v>
      </c>
      <c r="Y88" s="38" t="str" cm="1">
        <f t="array" ref="Y88:AA88">MID(DEC2BIN(Y87,3),_xlfn.SEQUENCE(1,3),1)</f>
        <v>1</v>
      </c>
      <c r="Z88" s="39" t="str">
        <v>0</v>
      </c>
      <c r="AA88" s="40" t="str">
        <v>1</v>
      </c>
      <c r="AB88" s="131" t="str" cm="1">
        <f t="array" ref="AB88:AF88">MID(DEC2BIN(AB87,5),_xlfn.SEQUENCE(1,5),1)</f>
        <v>0</v>
      </c>
      <c r="AC88" s="132" t="str">
        <v>0</v>
      </c>
      <c r="AD88" s="132" t="str">
        <v>0</v>
      </c>
      <c r="AE88" s="132" t="str">
        <v>1</v>
      </c>
      <c r="AF88" s="133" t="str">
        <v>1</v>
      </c>
      <c r="AG88" s="38" t="str" cm="1">
        <f t="array" ref="AG88:AM88">MID(DEC2BIN(AG87,7),_xlfn.SEQUENCE(1,7),1)</f>
        <v>0</v>
      </c>
      <c r="AH88" s="39" t="str">
        <v>1</v>
      </c>
      <c r="AI88" s="39" t="str">
        <v>1</v>
      </c>
      <c r="AJ88" s="118" t="str">
        <v>0</v>
      </c>
      <c r="AK88" s="118" t="str">
        <v>0</v>
      </c>
      <c r="AL88" s="118" t="str">
        <v>1</v>
      </c>
      <c r="AM88" s="119" t="str">
        <v>1</v>
      </c>
    </row>
    <row r="89" spans="3:41" ht="15.75" thickBot="1" x14ac:dyDescent="0.3">
      <c r="G89" s="19" t="s">
        <v>253</v>
      </c>
      <c r="H89" s="438" t="str">
        <f>BIN2HEX(H88&amp;I88&amp;J88&amp;K88,1)</f>
        <v>0</v>
      </c>
      <c r="I89" s="439"/>
      <c r="J89" s="439"/>
      <c r="K89" s="439"/>
      <c r="L89" s="438" t="str">
        <f>BIN2HEX(L88&amp;M88&amp;N88&amp;O88,1)</f>
        <v>0</v>
      </c>
      <c r="M89" s="439"/>
      <c r="N89" s="439"/>
      <c r="O89" s="439"/>
      <c r="P89" s="438" t="str">
        <f>BIN2HEX(P88&amp;Q88&amp;R88&amp;S88,1)</f>
        <v>7</v>
      </c>
      <c r="Q89" s="439"/>
      <c r="R89" s="439"/>
      <c r="S89" s="439"/>
      <c r="T89" s="438" t="str">
        <f>BIN2HEX(T88&amp;U88&amp;V88&amp;W88,1)</f>
        <v>5</v>
      </c>
      <c r="U89" s="439"/>
      <c r="V89" s="439"/>
      <c r="W89" s="439"/>
      <c r="X89" s="438" t="str">
        <f>BIN2HEX(X88&amp;Y88&amp;Z88&amp;AA88,1)</f>
        <v>5</v>
      </c>
      <c r="Y89" s="439"/>
      <c r="Z89" s="439"/>
      <c r="AA89" s="439"/>
      <c r="AB89" s="438" t="str">
        <f>BIN2HEX(AB88&amp;AC88&amp;AD88&amp;AE88,1)</f>
        <v>1</v>
      </c>
      <c r="AC89" s="439"/>
      <c r="AD89" s="439"/>
      <c r="AE89" s="439"/>
      <c r="AF89" s="438" t="str">
        <f>BIN2HEX(AF88&amp;AG88&amp;AH88&amp;AI88,1)</f>
        <v>B</v>
      </c>
      <c r="AG89" s="439"/>
      <c r="AH89" s="439"/>
      <c r="AI89" s="439"/>
      <c r="AJ89" s="440" t="str">
        <f>BIN2HEX(AJ88&amp;AK88&amp;AL88&amp;AM88,1)</f>
        <v>3</v>
      </c>
      <c r="AK89" s="441"/>
      <c r="AL89" s="441"/>
      <c r="AM89" s="442"/>
    </row>
  </sheetData>
  <mergeCells count="207">
    <mergeCell ref="H76:N76"/>
    <mergeCell ref="O76:S76"/>
    <mergeCell ref="T76:X76"/>
    <mergeCell ref="Y76:AA76"/>
    <mergeCell ref="AB76:AF76"/>
    <mergeCell ref="AG76:AM76"/>
    <mergeCell ref="H42:N42"/>
    <mergeCell ref="O42:S42"/>
    <mergeCell ref="T42:X42"/>
    <mergeCell ref="Y42:AA42"/>
    <mergeCell ref="AB42:AF42"/>
    <mergeCell ref="AG42:AM42"/>
    <mergeCell ref="H59:N59"/>
    <mergeCell ref="O59:S59"/>
    <mergeCell ref="T59:X59"/>
    <mergeCell ref="Y59:AA59"/>
    <mergeCell ref="AB59:AF59"/>
    <mergeCell ref="AG59:AM59"/>
    <mergeCell ref="T12:X12"/>
    <mergeCell ref="Y12:AA12"/>
    <mergeCell ref="AB12:AF12"/>
    <mergeCell ref="AG12:AM12"/>
    <mergeCell ref="H25:N25"/>
    <mergeCell ref="O25:S25"/>
    <mergeCell ref="T25:X25"/>
    <mergeCell ref="Y25:AA25"/>
    <mergeCell ref="AB25:AF25"/>
    <mergeCell ref="AG25:AM25"/>
    <mergeCell ref="C51:F51"/>
    <mergeCell ref="AF48:AI48"/>
    <mergeCell ref="AJ48:AM48"/>
    <mergeCell ref="O55:S55"/>
    <mergeCell ref="H54:N54"/>
    <mergeCell ref="AB48:AE48"/>
    <mergeCell ref="AG53:AM53"/>
    <mergeCell ref="T54:X54"/>
    <mergeCell ref="Y54:AA54"/>
    <mergeCell ref="AB54:AF54"/>
    <mergeCell ref="AG54:AM54"/>
    <mergeCell ref="T49:U49"/>
    <mergeCell ref="V49:X49"/>
    <mergeCell ref="T53:X53"/>
    <mergeCell ref="H53:N53"/>
    <mergeCell ref="O53:S53"/>
    <mergeCell ref="O54:S54"/>
    <mergeCell ref="AG55:AM55"/>
    <mergeCell ref="H57:K57"/>
    <mergeCell ref="L57:O57"/>
    <mergeCell ref="P57:S57"/>
    <mergeCell ref="T57:W57"/>
    <mergeCell ref="X57:AA57"/>
    <mergeCell ref="T55:X55"/>
    <mergeCell ref="Y55:AA55"/>
    <mergeCell ref="O4:Q4"/>
    <mergeCell ref="R4:S4"/>
    <mergeCell ref="T4:U4"/>
    <mergeCell ref="V4:X4"/>
    <mergeCell ref="H7:S7"/>
    <mergeCell ref="T7:X7"/>
    <mergeCell ref="P40:S40"/>
    <mergeCell ref="T40:W40"/>
    <mergeCell ref="X40:AA40"/>
    <mergeCell ref="H23:K23"/>
    <mergeCell ref="L23:O23"/>
    <mergeCell ref="P23:S23"/>
    <mergeCell ref="T23:W23"/>
    <mergeCell ref="X23:AA23"/>
    <mergeCell ref="H20:AA20"/>
    <mergeCell ref="H12:N12"/>
    <mergeCell ref="O12:S12"/>
    <mergeCell ref="AJ10:AM10"/>
    <mergeCell ref="AF10:AI10"/>
    <mergeCell ref="AB10:AE10"/>
    <mergeCell ref="X10:AA10"/>
    <mergeCell ref="T10:W10"/>
    <mergeCell ref="P10:S10"/>
    <mergeCell ref="L10:O10"/>
    <mergeCell ref="H10:K10"/>
    <mergeCell ref="C50:F50"/>
    <mergeCell ref="C47:F47"/>
    <mergeCell ref="O49:Q49"/>
    <mergeCell ref="R49:S49"/>
    <mergeCell ref="C48:F48"/>
    <mergeCell ref="C33:F33"/>
    <mergeCell ref="C34:F34"/>
    <mergeCell ref="D32:F32"/>
    <mergeCell ref="O32:Q32"/>
    <mergeCell ref="R32:S32"/>
    <mergeCell ref="D49:F49"/>
    <mergeCell ref="C30:F30"/>
    <mergeCell ref="C31:F31"/>
    <mergeCell ref="L29:P29"/>
    <mergeCell ref="H40:K40"/>
    <mergeCell ref="L40:O40"/>
    <mergeCell ref="AG6:AM6"/>
    <mergeCell ref="AB7:AF7"/>
    <mergeCell ref="AG7:AM7"/>
    <mergeCell ref="H8:S8"/>
    <mergeCell ref="T8:X8"/>
    <mergeCell ref="Y8:AA8"/>
    <mergeCell ref="AB8:AF8"/>
    <mergeCell ref="AG8:AM8"/>
    <mergeCell ref="Y7:AA7"/>
    <mergeCell ref="H6:S6"/>
    <mergeCell ref="T6:X6"/>
    <mergeCell ref="Y6:AA6"/>
    <mergeCell ref="AB6:AF6"/>
    <mergeCell ref="AG38:AM38"/>
    <mergeCell ref="T32:X32"/>
    <mergeCell ref="T31:X31"/>
    <mergeCell ref="H37:AA37"/>
    <mergeCell ref="H36:AA36"/>
    <mergeCell ref="AB38:AF38"/>
    <mergeCell ref="AB36:AF36"/>
    <mergeCell ref="AG36:AM36"/>
    <mergeCell ref="AB37:AF37"/>
    <mergeCell ref="AG37:AM37"/>
    <mergeCell ref="AD16:AE16"/>
    <mergeCell ref="H19:AA19"/>
    <mergeCell ref="AB19:AF19"/>
    <mergeCell ref="AG19:AM19"/>
    <mergeCell ref="AG16:AK16"/>
    <mergeCell ref="T15:X15"/>
    <mergeCell ref="O16:Q16"/>
    <mergeCell ref="R16:S16"/>
    <mergeCell ref="T16:X16"/>
    <mergeCell ref="AB20:AF20"/>
    <mergeCell ref="AG20:AM20"/>
    <mergeCell ref="AB21:AF21"/>
    <mergeCell ref="AG21:AM21"/>
    <mergeCell ref="O67:Q67"/>
    <mergeCell ref="R67:S67"/>
    <mergeCell ref="T67:U67"/>
    <mergeCell ref="V67:X67"/>
    <mergeCell ref="AB66:AE66"/>
    <mergeCell ref="AF66:AI66"/>
    <mergeCell ref="AJ66:AM66"/>
    <mergeCell ref="AB23:AE23"/>
    <mergeCell ref="AF23:AI23"/>
    <mergeCell ref="AJ23:AM23"/>
    <mergeCell ref="AB40:AE40"/>
    <mergeCell ref="AF40:AI40"/>
    <mergeCell ref="AJ40:AM40"/>
    <mergeCell ref="AD32:AE32"/>
    <mergeCell ref="AJ32:AM32"/>
    <mergeCell ref="AB53:AF53"/>
    <mergeCell ref="Y53:AA53"/>
    <mergeCell ref="AB57:AE57"/>
    <mergeCell ref="AF57:AI57"/>
    <mergeCell ref="AJ57:AM57"/>
    <mergeCell ref="Y70:AA70"/>
    <mergeCell ref="AB70:AF70"/>
    <mergeCell ref="AG70:AM70"/>
    <mergeCell ref="H71:N71"/>
    <mergeCell ref="O71:S71"/>
    <mergeCell ref="T71:X71"/>
    <mergeCell ref="Y71:AA71"/>
    <mergeCell ref="AB71:AF71"/>
    <mergeCell ref="AG71:AM71"/>
    <mergeCell ref="H70:N70"/>
    <mergeCell ref="O70:S70"/>
    <mergeCell ref="T70:X70"/>
    <mergeCell ref="O72:S72"/>
    <mergeCell ref="T72:X72"/>
    <mergeCell ref="Y72:AA72"/>
    <mergeCell ref="AG72:AM72"/>
    <mergeCell ref="H74:K74"/>
    <mergeCell ref="L74:O74"/>
    <mergeCell ref="P74:S74"/>
    <mergeCell ref="T74:W74"/>
    <mergeCell ref="X74:AA74"/>
    <mergeCell ref="AB74:AE74"/>
    <mergeCell ref="AF74:AI74"/>
    <mergeCell ref="AJ74:AM74"/>
    <mergeCell ref="AB86:AF86"/>
    <mergeCell ref="AG86:AM86"/>
    <mergeCell ref="O82:Q82"/>
    <mergeCell ref="V82:W82"/>
    <mergeCell ref="T82:U82"/>
    <mergeCell ref="H85:N85"/>
    <mergeCell ref="O85:S85"/>
    <mergeCell ref="T85:X85"/>
    <mergeCell ref="R82:S82"/>
    <mergeCell ref="AB3:AE3"/>
    <mergeCell ref="AF3:AI3"/>
    <mergeCell ref="AJ3:AM3"/>
    <mergeCell ref="O87:S87"/>
    <mergeCell ref="T87:X87"/>
    <mergeCell ref="Y87:AA87"/>
    <mergeCell ref="AG87:AM87"/>
    <mergeCell ref="H89:K89"/>
    <mergeCell ref="L89:O89"/>
    <mergeCell ref="P89:S89"/>
    <mergeCell ref="T89:W89"/>
    <mergeCell ref="X89:AA89"/>
    <mergeCell ref="AB89:AE89"/>
    <mergeCell ref="AF89:AI89"/>
    <mergeCell ref="AJ89:AM89"/>
    <mergeCell ref="AB87:AF87"/>
    <mergeCell ref="H87:N87"/>
    <mergeCell ref="Y85:AA85"/>
    <mergeCell ref="AB85:AF85"/>
    <mergeCell ref="AG85:AM85"/>
    <mergeCell ref="H86:N86"/>
    <mergeCell ref="O86:S86"/>
    <mergeCell ref="T86:X86"/>
    <mergeCell ref="Y86:AA86"/>
  </mergeCells>
  <hyperlinks>
    <hyperlink ref="A1" location="'ASM 2 MachineCode'!A5" display="I - Type" xr:uid="{DDE0B640-96D1-476D-985C-4E3B89DEFA25}"/>
    <hyperlink ref="I1" location="'ASM 2 MachineCode'!A30" display="J - Type" xr:uid="{9561DB0E-3D11-4F79-9E63-76CFB6C67B54}"/>
    <hyperlink ref="I1:K1" location="'ASM 2 MachineCode'!A42" display="J - Type" xr:uid="{AC436F9D-E86D-4982-A2F2-F4E6FC4D7CA5}"/>
    <hyperlink ref="E1" location="'ASM 2 MachineCode'!A24" display="U - Type" xr:uid="{D6E52788-1569-42CB-88AB-0A0477E7C023}"/>
    <hyperlink ref="E1:G1" location="'ASM 2 MachineCode'!A24" display="U - Type" xr:uid="{2DD0DCA3-001D-4587-9537-B37553C98E64}"/>
    <hyperlink ref="M1" location="'ASM 2 MachineCode'!A14" display="B - Type" xr:uid="{48AD2434-25EE-4924-A3A1-64B5DEA2EC46}"/>
    <hyperlink ref="M1:O1" location="'ASM 2 MachineCode'!A58" display="B - Type" xr:uid="{E313A985-C0F5-4C16-9C1E-E58200CBD2EA}"/>
    <hyperlink ref="Q1" location="'ASM 2 MachineCode'!A65" display="S - Type" xr:uid="{006BA20F-4064-4A9C-A5B6-942FB0CAA747}"/>
    <hyperlink ref="Q1:S1" location="'ASM 2 MachineCode'!A75" display="S - Type" xr:uid="{93A91CC2-A457-415C-B34E-46FE958E1788}"/>
    <hyperlink ref="U1" location="'ASM 2 MachineCode'!A14" display="B - Type" xr:uid="{29C700C0-5707-4B9C-A37E-03139E041A8E}"/>
    <hyperlink ref="U1:W1" location="'ASM 2 MachineCode'!A88" display="R - Type" xr:uid="{CBFE6D34-3B58-4499-AC9F-D83CF4582A99}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541" yWindow="348" count="7">
        <x14:dataValidation type="list" allowBlank="1" showInputMessage="1" showErrorMessage="1" errorTitle="Sai toán tử / Wrong operator" error="Phải thuộc khuôn dạng lệnh I._x000a_It should be I-type" xr:uid="{54444BC2-765E-43CB-857D-9C7BC00DFA18}">
          <x14:formula1>
            <xm:f>'Green Sheet'!$Q$3:$Q$23</xm:f>
          </x14:formula1>
          <xm:sqref>O4:Q4</xm:sqref>
        </x14:dataValidation>
        <x14:dataValidation type="list" allowBlank="1" showInputMessage="1" showErrorMessage="1" errorTitle="Sai toán hạng / Wrong operarand" error="Phải là 1 trong 32 thanh ghi_x000a_Should be 1 of 32 registers" xr:uid="{317C79CD-21E3-4C6D-BE75-D8BD25B9E491}">
          <x14:formula1>
            <xm:f>'Green Sheet'!$A$2:$A$33</xm:f>
          </x14:formula1>
          <xm:sqref>R4:U4 R49:U49 R32:S32 R16:S16 R67:U67 R82:W82</xm:sqref>
        </x14:dataValidation>
        <x14:dataValidation type="list" allowBlank="1" showInputMessage="1" showErrorMessage="1" errorTitle="Sai toán tử / Wrong operator" error="Phải thuộc khuôn dạng lệnh I._x000a_It should be I-type" xr:uid="{58982B7A-A9D7-4826-9F06-A1006DE0610F}">
          <x14:formula1>
            <xm:f>'Green Sheet'!$T$3:$T$8</xm:f>
          </x14:formula1>
          <xm:sqref>O49:Q49</xm:sqref>
        </x14:dataValidation>
        <x14:dataValidation type="list" allowBlank="1" showInputMessage="1" showErrorMessage="1" errorTitle="Sai toán tử / Wrong operator" error="Phải thuộc khuôn dạng lệnh I._x000a_It should be I-type" xr:uid="{332AB21D-56EB-4B29-9F9A-97B038269E57}">
          <x14:formula1>
            <xm:f>'Green Sheet'!$U$3:$U$3</xm:f>
          </x14:formula1>
          <xm:sqref>O32:Q32</xm:sqref>
        </x14:dataValidation>
        <x14:dataValidation type="list" allowBlank="1" showInputMessage="1" showErrorMessage="1" errorTitle="Sai toán tử / Wrong operator" error="Phải thuộc khuôn dạng lệnh I._x000a_It should be I-type" xr:uid="{E088DAE3-4587-4963-B6CE-DB990A9A468D}">
          <x14:formula1>
            <xm:f>'Green Sheet'!$S$3:$S$8</xm:f>
          </x14:formula1>
          <xm:sqref>O16:Q16</xm:sqref>
        </x14:dataValidation>
        <x14:dataValidation type="list" allowBlank="1" showInputMessage="1" showErrorMessage="1" errorTitle="Sai toán tử / Wrong operator" error="Phải thuộc khuôn dạng lệnh I._x000a_It should be I-type" xr:uid="{5F2E28BA-9217-4474-B187-2142312BE2C7}">
          <x14:formula1>
            <xm:f>'Green Sheet'!$R$3:$R$6</xm:f>
          </x14:formula1>
          <xm:sqref>O67:Q67</xm:sqref>
        </x14:dataValidation>
        <x14:dataValidation type="list" allowBlank="1" showInputMessage="1" showErrorMessage="1" errorTitle="Sai toán tử / Wrong operator" error="Phải thuộc khuôn dạng lệnh I._x000a_It should be I-type" xr:uid="{DF48837A-E0AC-4A77-A90F-C76E8344D0A9}">
          <x14:formula1>
            <xm:f>'Green Sheet'!$P$3:$P$17</xm:f>
          </x14:formula1>
          <xm:sqref>O82:Q82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57CE-2E6C-4137-968A-B70FC37A2832}">
  <sheetPr codeName="Sheet5"/>
  <dimension ref="A1:DA94"/>
  <sheetViews>
    <sheetView topLeftCell="A12" zoomScale="115" zoomScaleNormal="115" workbookViewId="0">
      <selection activeCell="AL99" sqref="A99:AL99"/>
    </sheetView>
  </sheetViews>
  <sheetFormatPr defaultColWidth="2.7109375" defaultRowHeight="15" x14ac:dyDescent="0.25"/>
  <cols>
    <col min="1" max="1" width="2.5703125" customWidth="1"/>
    <col min="5" max="15" width="3" bestFit="1" customWidth="1"/>
    <col min="16" max="16" width="2.7109375" customWidth="1"/>
    <col min="17" max="20" width="3" bestFit="1" customWidth="1"/>
    <col min="21" max="22" width="2.7109375" customWidth="1"/>
    <col min="23" max="25" width="3" bestFit="1" customWidth="1"/>
    <col min="26" max="28" width="2.85546875" bestFit="1" customWidth="1"/>
    <col min="29" max="30" width="2.7109375" customWidth="1"/>
    <col min="31" max="35" width="2.85546875" bestFit="1" customWidth="1"/>
    <col min="36" max="36" width="3" bestFit="1" customWidth="1"/>
    <col min="40" max="40" width="3" bestFit="1" customWidth="1"/>
    <col min="50" max="50" width="2.7109375" customWidth="1"/>
    <col min="52" max="52" width="2.7109375" customWidth="1"/>
    <col min="54" max="54" width="2.7109375" customWidth="1"/>
    <col min="56" max="56" width="2.7109375" customWidth="1"/>
    <col min="61" max="61" width="2.85546875" customWidth="1"/>
    <col min="69" max="69" width="3" bestFit="1" customWidth="1"/>
    <col min="70" max="70" width="2.7109375" customWidth="1"/>
    <col min="72" max="72" width="2.42578125" customWidth="1"/>
    <col min="77" max="77" width="2.7109375" customWidth="1"/>
  </cols>
  <sheetData>
    <row r="1" spans="2:105" ht="15" customHeight="1" x14ac:dyDescent="0.25">
      <c r="AV1" s="487" t="s">
        <v>305</v>
      </c>
    </row>
    <row r="2" spans="2:105" ht="15" customHeight="1" x14ac:dyDescent="0.25">
      <c r="AV2" s="487"/>
    </row>
    <row r="3" spans="2:105" x14ac:dyDescent="0.25">
      <c r="G3" s="178" cm="1">
        <f t="array" ref="G3:AL3">_xlfn.SEQUENCE(1,32,31,-1)</f>
        <v>31</v>
      </c>
      <c r="H3" s="179">
        <v>30</v>
      </c>
      <c r="I3" s="179">
        <v>29</v>
      </c>
      <c r="J3" s="179">
        <v>28</v>
      </c>
      <c r="K3" s="179">
        <v>27</v>
      </c>
      <c r="L3" s="179">
        <v>26</v>
      </c>
      <c r="M3" s="179">
        <v>25</v>
      </c>
      <c r="N3" s="179">
        <v>24</v>
      </c>
      <c r="O3" s="179">
        <v>23</v>
      </c>
      <c r="P3" s="179">
        <v>22</v>
      </c>
      <c r="Q3" s="179">
        <v>21</v>
      </c>
      <c r="R3" s="179">
        <v>20</v>
      </c>
      <c r="S3" s="179">
        <v>19</v>
      </c>
      <c r="T3" s="179">
        <v>18</v>
      </c>
      <c r="U3" s="179">
        <v>17</v>
      </c>
      <c r="V3" s="179">
        <v>16</v>
      </c>
      <c r="W3" s="179">
        <v>15</v>
      </c>
      <c r="X3" s="179">
        <v>14</v>
      </c>
      <c r="Y3" s="179">
        <v>13</v>
      </c>
      <c r="Z3" s="179">
        <v>12</v>
      </c>
      <c r="AA3" s="179">
        <v>11</v>
      </c>
      <c r="AB3" s="179">
        <v>10</v>
      </c>
      <c r="AC3" s="179">
        <v>9</v>
      </c>
      <c r="AD3" s="179">
        <v>8</v>
      </c>
      <c r="AE3" s="179">
        <v>7</v>
      </c>
      <c r="AF3" s="179">
        <v>6</v>
      </c>
      <c r="AG3" s="179">
        <v>5</v>
      </c>
      <c r="AH3" s="179">
        <v>4</v>
      </c>
      <c r="AI3" s="179">
        <v>3</v>
      </c>
      <c r="AJ3" s="179">
        <v>2</v>
      </c>
      <c r="AK3" s="179">
        <v>1</v>
      </c>
      <c r="AL3" s="179">
        <v>0</v>
      </c>
      <c r="AV3" s="487"/>
    </row>
    <row r="4" spans="2:105" ht="15.75" thickBot="1" x14ac:dyDescent="0.3">
      <c r="G4" s="449" t="s">
        <v>272</v>
      </c>
      <c r="H4" s="449"/>
      <c r="I4" s="449"/>
      <c r="J4" s="449"/>
      <c r="K4" s="449"/>
      <c r="L4" s="449"/>
      <c r="M4" s="449"/>
      <c r="N4" s="449" t="s">
        <v>266</v>
      </c>
      <c r="O4" s="449"/>
      <c r="P4" s="449"/>
      <c r="Q4" s="449"/>
      <c r="R4" s="449"/>
      <c r="S4" s="449" t="s">
        <v>243</v>
      </c>
      <c r="T4" s="449"/>
      <c r="U4" s="449"/>
      <c r="V4" s="449"/>
      <c r="W4" s="449"/>
      <c r="X4" s="449" t="s">
        <v>249</v>
      </c>
      <c r="Y4" s="449"/>
      <c r="Z4" s="449"/>
      <c r="AA4" s="449" t="s">
        <v>242</v>
      </c>
      <c r="AB4" s="449"/>
      <c r="AC4" s="449"/>
      <c r="AD4" s="449"/>
      <c r="AE4" s="449"/>
      <c r="AF4" s="449" t="s">
        <v>50</v>
      </c>
      <c r="AG4" s="449"/>
      <c r="AH4" s="449"/>
      <c r="AI4" s="449"/>
      <c r="AJ4" s="449"/>
      <c r="AK4" s="449"/>
      <c r="AL4" s="449"/>
      <c r="AV4" s="487"/>
    </row>
    <row r="5" spans="2:105" ht="15.75" thickBot="1" x14ac:dyDescent="0.3">
      <c r="G5" s="295" t="s">
        <v>382</v>
      </c>
      <c r="H5" s="310" t="s">
        <v>382</v>
      </c>
      <c r="I5" s="311" t="s">
        <v>382</v>
      </c>
      <c r="J5" s="311" t="s">
        <v>382</v>
      </c>
      <c r="K5" s="311" t="s">
        <v>382</v>
      </c>
      <c r="L5" s="311" t="s">
        <v>382</v>
      </c>
      <c r="M5" s="312" t="s">
        <v>381</v>
      </c>
      <c r="N5" s="296" t="s">
        <v>381</v>
      </c>
      <c r="O5" s="297" t="s">
        <v>382</v>
      </c>
      <c r="P5" s="298" t="s">
        <v>382</v>
      </c>
      <c r="Q5" s="297" t="s">
        <v>382</v>
      </c>
      <c r="R5" s="299" t="s">
        <v>381</v>
      </c>
      <c r="S5" s="300" t="s">
        <v>382</v>
      </c>
      <c r="T5" s="301" t="s">
        <v>382</v>
      </c>
      <c r="U5" s="302" t="s">
        <v>381</v>
      </c>
      <c r="V5" s="301" t="s">
        <v>381</v>
      </c>
      <c r="W5" s="303" t="s">
        <v>382</v>
      </c>
      <c r="X5" s="304" t="s">
        <v>381</v>
      </c>
      <c r="Y5" s="305" t="s">
        <v>382</v>
      </c>
      <c r="Z5" s="306">
        <v>1</v>
      </c>
      <c r="AA5" s="307" t="s">
        <v>382</v>
      </c>
      <c r="AB5" s="308" t="s">
        <v>381</v>
      </c>
      <c r="AC5" s="308" t="s">
        <v>382</v>
      </c>
      <c r="AD5" s="308" t="s">
        <v>381</v>
      </c>
      <c r="AE5" s="309" t="s">
        <v>382</v>
      </c>
      <c r="AF5" s="304" t="s">
        <v>382</v>
      </c>
      <c r="AG5" s="305" t="s">
        <v>382</v>
      </c>
      <c r="AH5" s="305" t="s">
        <v>382</v>
      </c>
      <c r="AI5" s="305" t="s">
        <v>382</v>
      </c>
      <c r="AJ5" s="305" t="s">
        <v>382</v>
      </c>
      <c r="AK5" s="118" t="s">
        <v>381</v>
      </c>
      <c r="AL5" s="119" t="s">
        <v>381</v>
      </c>
      <c r="AM5" t="s">
        <v>256</v>
      </c>
      <c r="AN5" s="63" t="str">
        <f xml:space="preserve"> _xlfn.CONCAT(AF5:AL5)</f>
        <v>0000011</v>
      </c>
      <c r="AO5" s="177"/>
      <c r="AV5" s="488"/>
      <c r="BB5">
        <f>IF(_xlfn.CONCAT(AF5:AL5)="0000011",1,0)</f>
        <v>1</v>
      </c>
      <c r="BC5" t="s">
        <v>385</v>
      </c>
      <c r="BF5" s="315"/>
      <c r="BG5" s="316"/>
      <c r="BH5" s="316"/>
      <c r="BI5" s="316"/>
      <c r="BJ5" s="316"/>
      <c r="BK5" s="316"/>
      <c r="BL5" s="316"/>
      <c r="BM5" s="316"/>
      <c r="BN5" s="316"/>
      <c r="BO5" s="316"/>
      <c r="BP5" s="316"/>
      <c r="BQ5" s="316"/>
      <c r="BR5" s="316"/>
      <c r="BS5" s="316"/>
      <c r="BT5" s="316"/>
      <c r="BU5" s="316"/>
      <c r="BV5" s="316"/>
      <c r="BW5" s="316"/>
      <c r="BX5" s="316"/>
      <c r="BY5" s="316"/>
      <c r="BZ5" s="316"/>
      <c r="CA5" s="316"/>
      <c r="CB5" s="316"/>
      <c r="CC5" s="316"/>
      <c r="CD5" s="316"/>
      <c r="CE5" s="316"/>
      <c r="CF5" s="316"/>
      <c r="CG5" s="316"/>
      <c r="CH5" s="316"/>
      <c r="CI5" s="316"/>
      <c r="CJ5" s="316"/>
    </row>
    <row r="6" spans="2:105" x14ac:dyDescent="0.25">
      <c r="F6" t="s">
        <v>379</v>
      </c>
      <c r="H6" s="197"/>
      <c r="P6" s="233"/>
      <c r="U6" s="232"/>
      <c r="X6" s="187"/>
      <c r="Y6" s="187"/>
      <c r="Z6" s="187"/>
      <c r="AC6" s="151"/>
      <c r="AF6" s="175"/>
      <c r="AG6" s="175"/>
      <c r="AH6" s="183"/>
      <c r="AI6" s="183"/>
      <c r="AJ6" s="183"/>
      <c r="AK6" s="175"/>
      <c r="AL6" s="176"/>
      <c r="AM6" s="182"/>
      <c r="AN6" s="182" t="s">
        <v>366</v>
      </c>
      <c r="AP6" s="182"/>
      <c r="AQ6" s="182"/>
      <c r="AR6" s="182"/>
      <c r="AS6" s="182"/>
      <c r="AU6" s="19"/>
      <c r="AX6" s="174"/>
      <c r="AY6" s="185"/>
      <c r="BB6">
        <f>IF(AND(_xlfn.CONCAT(AF$5:AG$5)="00",_xlfn.CONCAT(AI$5:AJ$5)="00"),1,0)</f>
        <v>1</v>
      </c>
      <c r="BC6" t="str">
        <f>IF(BB6=1,"IsItype","NotItype")</f>
        <v>IsItype</v>
      </c>
      <c r="CJ6" s="208"/>
    </row>
    <row r="7" spans="2:105" x14ac:dyDescent="0.25">
      <c r="E7" t="s">
        <v>379</v>
      </c>
      <c r="H7" s="198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200"/>
      <c r="X7" s="187"/>
      <c r="Y7" s="187"/>
      <c r="Z7" s="187"/>
      <c r="AA7" s="63" t="s">
        <v>307</v>
      </c>
      <c r="AC7" s="151"/>
      <c r="AF7" s="183"/>
      <c r="AG7" s="183"/>
      <c r="AH7" s="183"/>
      <c r="AI7" s="183"/>
      <c r="AJ7" s="183"/>
      <c r="AK7" s="177"/>
      <c r="AL7" s="177"/>
      <c r="AM7" s="182"/>
      <c r="AN7" s="182" t="s">
        <v>366</v>
      </c>
      <c r="AO7" s="182"/>
      <c r="AP7" s="182"/>
      <c r="AQ7" s="182"/>
      <c r="AR7" s="182"/>
      <c r="AS7" s="182"/>
      <c r="AU7" s="19"/>
      <c r="AY7" s="83"/>
      <c r="BB7">
        <f>IF(_xlfn.CONCAT(AF$5:AJ$5)="01000",1,0)</f>
        <v>0</v>
      </c>
      <c r="BC7" t="str">
        <f>IF(BB7=1,"IsStype","NotStype")</f>
        <v>NotStype</v>
      </c>
      <c r="CJ7" s="83"/>
    </row>
    <row r="8" spans="2:105" x14ac:dyDescent="0.25">
      <c r="D8" t="s">
        <v>379</v>
      </c>
      <c r="P8" s="148"/>
      <c r="U8" s="145"/>
      <c r="V8" s="200"/>
      <c r="X8" s="187"/>
      <c r="Y8" s="187"/>
      <c r="Z8" s="187"/>
      <c r="AC8" s="151"/>
      <c r="AF8" s="183"/>
      <c r="AG8" s="183"/>
      <c r="AH8" s="183"/>
      <c r="AI8" s="183"/>
      <c r="AJ8" s="177"/>
      <c r="AK8" s="177"/>
      <c r="AL8" s="177"/>
      <c r="AM8" s="177" t="s">
        <v>302</v>
      </c>
      <c r="AN8" s="182"/>
      <c r="AO8" s="182"/>
      <c r="AP8" s="182"/>
      <c r="AQ8" s="182"/>
      <c r="AR8" s="182"/>
      <c r="AS8" s="182" t="str">
        <f>AJ5</f>
        <v>0</v>
      </c>
      <c r="AU8" s="19" t="s">
        <v>304</v>
      </c>
      <c r="AV8" s="184">
        <v>0</v>
      </c>
      <c r="AW8" t="s">
        <v>256</v>
      </c>
      <c r="AX8">
        <f t="shared" ref="AX8:AX12" si="0">_xlfn.BITXOR(AS8,AV8)</f>
        <v>0</v>
      </c>
      <c r="AY8" s="83" t="s">
        <v>161</v>
      </c>
      <c r="BB8">
        <f>IF(_xlfn.CONCAT(AH$5:AL$5)="10111",1,0)</f>
        <v>0</v>
      </c>
      <c r="BC8" t="str">
        <f>IF(BB8=1,"IsUtype","NotUtype")</f>
        <v>NotUtype</v>
      </c>
      <c r="CJ8" s="83"/>
    </row>
    <row r="9" spans="2:105" x14ac:dyDescent="0.25">
      <c r="C9" t="s">
        <v>379</v>
      </c>
      <c r="P9" s="148"/>
      <c r="R9" s="189" t="s">
        <v>310</v>
      </c>
      <c r="U9" s="145"/>
      <c r="V9" s="200"/>
      <c r="X9" s="187"/>
      <c r="Y9" s="187"/>
      <c r="Z9" s="187"/>
      <c r="AA9" s="63" t="s">
        <v>308</v>
      </c>
      <c r="AC9" s="151"/>
      <c r="AF9" s="183"/>
      <c r="AG9" s="183"/>
      <c r="AH9" s="183"/>
      <c r="AI9" s="177"/>
      <c r="AJ9" s="177"/>
      <c r="AK9" s="177"/>
      <c r="AL9" s="177"/>
      <c r="AM9" s="182" t="s">
        <v>302</v>
      </c>
      <c r="AN9" s="182"/>
      <c r="AO9" s="182"/>
      <c r="AP9" s="182"/>
      <c r="AQ9" s="182"/>
      <c r="AR9" s="182"/>
      <c r="AS9" s="182" t="str">
        <f>AI5</f>
        <v>0</v>
      </c>
      <c r="AU9" s="19" t="s">
        <v>304</v>
      </c>
      <c r="AV9" s="184">
        <v>0</v>
      </c>
      <c r="AW9" t="s">
        <v>256</v>
      </c>
      <c r="AX9">
        <f t="shared" si="0"/>
        <v>0</v>
      </c>
      <c r="AY9" s="83" t="s">
        <v>161</v>
      </c>
      <c r="AZ9" s="180" t="s">
        <v>256</v>
      </c>
      <c r="BA9" s="180">
        <f>BB9</f>
        <v>0</v>
      </c>
      <c r="BB9" s="180">
        <f>IF(_xlfn.CONCAT(AF$5:AJ$5)="01100",1,0)</f>
        <v>0</v>
      </c>
      <c r="BC9" s="181" t="str">
        <f>IF(BB9=1,"IsRtype","NotRtype")</f>
        <v>NotRtype</v>
      </c>
      <c r="BD9" s="180"/>
      <c r="BE9" s="180"/>
      <c r="BF9" s="180"/>
      <c r="BG9" s="180"/>
      <c r="BH9" s="180"/>
      <c r="BI9" s="180"/>
      <c r="BJ9" s="180"/>
      <c r="BK9" s="180"/>
      <c r="BL9" s="180"/>
      <c r="BM9" s="180" t="s">
        <v>302</v>
      </c>
      <c r="BN9" s="180"/>
      <c r="BO9" s="180"/>
      <c r="BP9" s="180"/>
      <c r="BQ9" s="180"/>
      <c r="BR9" s="180" t="s">
        <v>302</v>
      </c>
      <c r="BS9" s="180"/>
      <c r="BT9" s="180"/>
      <c r="BU9" s="180"/>
      <c r="BV9" s="180"/>
      <c r="BW9" s="240" t="s">
        <v>306</v>
      </c>
      <c r="BX9" s="180"/>
      <c r="BY9" s="180"/>
      <c r="BZ9" s="180"/>
      <c r="CA9" s="180"/>
      <c r="CB9" s="180"/>
      <c r="CC9" s="180"/>
      <c r="CD9" s="180"/>
      <c r="CE9" s="180"/>
      <c r="CF9" s="180"/>
      <c r="CG9" s="180"/>
      <c r="CH9" s="180"/>
      <c r="CJ9" s="83"/>
    </row>
    <row r="10" spans="2:105" x14ac:dyDescent="0.25">
      <c r="B10" s="3" t="s">
        <v>379</v>
      </c>
      <c r="P10" s="148"/>
      <c r="U10" s="145"/>
      <c r="V10" s="200"/>
      <c r="W10" s="83"/>
      <c r="X10" s="187"/>
      <c r="Y10" s="187"/>
      <c r="Z10" s="187"/>
      <c r="AC10" s="151"/>
      <c r="AF10" s="183"/>
      <c r="AG10" s="183"/>
      <c r="AH10" s="177"/>
      <c r="AI10" s="177"/>
      <c r="AJ10" s="177"/>
      <c r="AK10" s="177"/>
      <c r="AL10" s="177"/>
      <c r="AM10" s="177" t="s">
        <v>302</v>
      </c>
      <c r="AN10" s="177"/>
      <c r="AO10" s="177"/>
      <c r="AP10" s="177"/>
      <c r="AQ10" s="177"/>
      <c r="AR10" s="177"/>
      <c r="AS10" s="177" t="str">
        <f>AH5</f>
        <v>0</v>
      </c>
      <c r="AU10" s="19" t="s">
        <v>304</v>
      </c>
      <c r="AV10" s="184">
        <v>1</v>
      </c>
      <c r="AW10" t="s">
        <v>256</v>
      </c>
      <c r="AX10">
        <f t="shared" si="0"/>
        <v>1</v>
      </c>
      <c r="AY10" s="83" t="s">
        <v>161</v>
      </c>
      <c r="BB10">
        <f>IF(_xlfn.CONCAT(AF$5:AJ$5)="11000",1,0)</f>
        <v>0</v>
      </c>
      <c r="BC10" t="str">
        <f>IF(BB10=1,"IsBtype","NotBtype")</f>
        <v>NotBtype</v>
      </c>
      <c r="CH10" s="180"/>
      <c r="CJ10" s="83"/>
    </row>
    <row r="11" spans="2:105" x14ac:dyDescent="0.25">
      <c r="B11" s="3" t="s">
        <v>380</v>
      </c>
      <c r="P11" s="148"/>
      <c r="U11" s="145"/>
      <c r="V11" s="200"/>
      <c r="W11" s="83"/>
      <c r="X11" s="187"/>
      <c r="Y11" s="187"/>
      <c r="Z11" s="187"/>
      <c r="AC11" s="151"/>
      <c r="AE11" s="83"/>
      <c r="AF11" s="183"/>
      <c r="AG11" s="177"/>
      <c r="AH11" s="177"/>
      <c r="AI11" s="177"/>
      <c r="AJ11" s="177"/>
      <c r="AK11" s="177"/>
      <c r="AL11" s="177"/>
      <c r="AM11" s="177" t="s">
        <v>302</v>
      </c>
      <c r="AN11" s="177"/>
      <c r="AO11" s="177"/>
      <c r="AP11" s="177"/>
      <c r="AQ11" s="177"/>
      <c r="AR11" s="177"/>
      <c r="AS11" s="177" t="str">
        <f>AG5</f>
        <v>0</v>
      </c>
      <c r="AU11" s="19" t="s">
        <v>304</v>
      </c>
      <c r="AV11" s="184">
        <v>1</v>
      </c>
      <c r="AW11" t="s">
        <v>256</v>
      </c>
      <c r="AX11">
        <f t="shared" si="0"/>
        <v>1</v>
      </c>
      <c r="AY11" s="83" t="s">
        <v>161</v>
      </c>
      <c r="BB11">
        <f>IF(_xlfn.CONCAT(AF$5:AJ$5)="11011",1,0)</f>
        <v>0</v>
      </c>
      <c r="BC11" t="str">
        <f>IF(BB11=1,"IsJtype","NotJtype")</f>
        <v>NotJtype</v>
      </c>
      <c r="CH11" s="180"/>
      <c r="CJ11" s="83"/>
    </row>
    <row r="12" spans="2:105" x14ac:dyDescent="0.25">
      <c r="B12" s="3" t="s">
        <v>380</v>
      </c>
      <c r="P12" s="148"/>
      <c r="U12" s="145"/>
      <c r="V12" s="200"/>
      <c r="W12" s="83"/>
      <c r="X12" s="187"/>
      <c r="Y12" s="187"/>
      <c r="Z12" s="187"/>
      <c r="AC12" s="151"/>
      <c r="AE12" s="83"/>
      <c r="AF12" s="177"/>
      <c r="AG12" s="177"/>
      <c r="AH12" s="177"/>
      <c r="AI12" s="177"/>
      <c r="AJ12" s="177"/>
      <c r="AK12" s="177"/>
      <c r="AL12" s="177"/>
      <c r="AM12" s="177" t="s">
        <v>302</v>
      </c>
      <c r="AN12" s="177"/>
      <c r="AO12" s="177"/>
      <c r="AP12" s="177"/>
      <c r="AQ12" s="177"/>
      <c r="AR12" s="177"/>
      <c r="AS12" s="177" t="str">
        <f>AF5</f>
        <v>0</v>
      </c>
      <c r="AU12" s="19" t="s">
        <v>304</v>
      </c>
      <c r="AV12" s="184">
        <v>0</v>
      </c>
      <c r="AW12" t="s">
        <v>256</v>
      </c>
      <c r="AX12" s="177">
        <f t="shared" si="0"/>
        <v>0</v>
      </c>
      <c r="AY12" s="186"/>
      <c r="CH12" s="180"/>
      <c r="CJ12" s="83"/>
    </row>
    <row r="13" spans="2:105" x14ac:dyDescent="0.25">
      <c r="B13" s="3" t="s">
        <v>380</v>
      </c>
      <c r="P13" s="148"/>
      <c r="U13" s="145"/>
      <c r="V13" s="200"/>
      <c r="X13" s="202" t="str">
        <f>X5</f>
        <v>1</v>
      </c>
      <c r="Y13" s="188" t="str">
        <f t="shared" ref="Y13:Z13" si="1">Y5</f>
        <v>0</v>
      </c>
      <c r="Z13" s="188">
        <f t="shared" si="1"/>
        <v>1</v>
      </c>
      <c r="AA13" s="188"/>
      <c r="AB13" s="188"/>
      <c r="AC13" s="188" t="s">
        <v>302</v>
      </c>
      <c r="AD13" s="188"/>
      <c r="AE13" s="188"/>
      <c r="AF13" s="190"/>
      <c r="AG13" s="188"/>
      <c r="AH13" s="188"/>
      <c r="AI13" s="188"/>
      <c r="AJ13" s="188"/>
      <c r="AK13" s="188"/>
      <c r="AL13" s="188"/>
      <c r="AM13" s="188" t="s">
        <v>302</v>
      </c>
      <c r="AN13" s="188"/>
      <c r="AO13" s="190" t="str">
        <f>_xlfn.CONCAT(X5:Z5)</f>
        <v>101</v>
      </c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 t="s">
        <v>302</v>
      </c>
      <c r="BA13" s="188"/>
      <c r="BB13" s="188"/>
      <c r="BC13" s="188"/>
      <c r="BD13" s="188"/>
      <c r="BE13" s="188"/>
      <c r="BF13" s="190" t="str">
        <f>_xlfn.CONCAT(X5:Z5)</f>
        <v>101</v>
      </c>
      <c r="BG13" s="188"/>
      <c r="BH13" s="188"/>
      <c r="BI13" s="188"/>
      <c r="BJ13" s="188"/>
      <c r="BK13" s="188"/>
      <c r="BL13" s="188"/>
      <c r="BM13" s="188" t="s">
        <v>302</v>
      </c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 t="s">
        <v>302</v>
      </c>
      <c r="BY13" s="188"/>
      <c r="BZ13" s="188"/>
      <c r="CA13" s="188"/>
      <c r="CB13" s="188"/>
      <c r="CC13" s="188"/>
      <c r="CH13" s="180"/>
      <c r="CJ13" s="83"/>
    </row>
    <row r="14" spans="2:105" x14ac:dyDescent="0.25">
      <c r="B14" s="3" t="s">
        <v>380</v>
      </c>
      <c r="P14" s="148"/>
      <c r="U14" s="145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 t="s">
        <v>302</v>
      </c>
      <c r="AN14" s="200"/>
      <c r="AO14" s="200"/>
      <c r="AP14" s="200"/>
      <c r="AQ14" s="200"/>
      <c r="AR14" s="200"/>
      <c r="AS14" s="200" t="str">
        <f xml:space="preserve"> "instruction(" &amp; H3&amp;")"</f>
        <v>instruction(30)</v>
      </c>
      <c r="AT14" s="200"/>
      <c r="AU14" s="200"/>
      <c r="AV14" s="200"/>
      <c r="AW14" s="200"/>
      <c r="AX14" s="200"/>
      <c r="AY14" s="200"/>
      <c r="AZ14" s="200"/>
      <c r="BA14" s="200"/>
      <c r="BB14" s="200"/>
      <c r="BC14" s="200"/>
      <c r="BD14" s="200"/>
      <c r="BE14" s="200"/>
      <c r="BF14" s="200" t="s">
        <v>302</v>
      </c>
      <c r="BG14" s="200"/>
      <c r="BH14" s="200"/>
      <c r="BI14" s="200"/>
      <c r="BJ14" s="200"/>
      <c r="BK14" s="200"/>
      <c r="BL14" s="200"/>
      <c r="BM14" s="200"/>
      <c r="BN14" s="200" t="s">
        <v>315</v>
      </c>
      <c r="BO14" s="200"/>
      <c r="BP14" s="200"/>
      <c r="BQ14" s="200"/>
      <c r="BR14" s="200"/>
      <c r="BS14" s="200"/>
      <c r="BT14" s="200"/>
      <c r="BU14" s="200"/>
      <c r="BV14" s="200"/>
      <c r="CC14" s="188"/>
      <c r="CH14" s="180"/>
      <c r="CJ14" s="83"/>
    </row>
    <row r="15" spans="2:105" x14ac:dyDescent="0.25">
      <c r="B15" s="3" t="s">
        <v>380</v>
      </c>
      <c r="P15" s="148"/>
      <c r="U15" s="145"/>
      <c r="AC15" s="151"/>
      <c r="BV15" s="200"/>
      <c r="CC15" s="188"/>
      <c r="CH15" s="180"/>
      <c r="CJ15" s="83"/>
    </row>
    <row r="16" spans="2:105" x14ac:dyDescent="0.25">
      <c r="B16" s="3" t="s">
        <v>380</v>
      </c>
      <c r="P16" s="230" t="str" cm="1">
        <f t="array" ref="P16">INDEX(TableRegisters[Register Name],P17+1)</f>
        <v>a7</v>
      </c>
      <c r="U16" s="146" t="str" cm="1">
        <f t="array" ref="U16">INDEX(TableRegisters[Register Name],U17+1)</f>
        <v>t1</v>
      </c>
      <c r="AC16" s="231" t="str" cm="1">
        <f t="array" ref="AC16">INDEX(TableRegisters[Register Name],AC17+1)</f>
        <v>a0</v>
      </c>
      <c r="AG16" s="170" t="str">
        <f>BO16</f>
        <v>AB123</v>
      </c>
      <c r="AH16" s="169"/>
      <c r="AI16" s="169"/>
      <c r="AJ16" s="169"/>
      <c r="AK16" s="169"/>
      <c r="AL16" s="169"/>
      <c r="AM16" s="171" t="s">
        <v>298</v>
      </c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70" t="s">
        <v>299</v>
      </c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70" t="str">
        <f>IF(CK19,CI47,IF(CM16,CY20,"????"))</f>
        <v>AB123</v>
      </c>
      <c r="BP16" s="169"/>
      <c r="BQ16" s="169"/>
      <c r="BR16" s="169"/>
      <c r="BS16" s="169"/>
      <c r="BT16" s="169"/>
      <c r="BU16" s="170"/>
      <c r="BV16" s="200"/>
      <c r="BW16" s="169"/>
      <c r="BX16" s="169"/>
      <c r="BY16" s="169"/>
      <c r="BZ16" s="169"/>
      <c r="CA16" s="169"/>
      <c r="CB16" s="169"/>
      <c r="CC16" s="188"/>
      <c r="CD16" s="170" t="s">
        <v>299</v>
      </c>
      <c r="CE16" s="169"/>
      <c r="CF16" s="169"/>
      <c r="CG16" s="169"/>
      <c r="CH16" s="257"/>
      <c r="CI16" s="169"/>
      <c r="CJ16" s="169"/>
      <c r="CK16" s="169"/>
      <c r="CL16" s="169"/>
      <c r="CM16">
        <f>IF(IsLoadIns,1,0)</f>
        <v>1</v>
      </c>
      <c r="CP16" s="169"/>
      <c r="CQ16" s="170" t="s">
        <v>299</v>
      </c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</row>
    <row r="17" spans="2:105" x14ac:dyDescent="0.25">
      <c r="B17" s="3" t="s">
        <v>380</v>
      </c>
      <c r="P17" s="234">
        <f>BIN2DEC(_xlfn.CONCAT(N5:R5))</f>
        <v>17</v>
      </c>
      <c r="U17" s="154">
        <f>BIN2DEC(_xlfn.CONCAT(S5:W5))</f>
        <v>6</v>
      </c>
      <c r="AC17" s="155">
        <f>BIN2DEC(_xlfn.CONCAT(AA5:AE5))</f>
        <v>10</v>
      </c>
      <c r="AG17" s="171"/>
      <c r="BV17" s="200"/>
      <c r="CC17" s="188"/>
      <c r="CH17" s="180"/>
      <c r="CJ17" s="169"/>
      <c r="DA17" s="169"/>
    </row>
    <row r="18" spans="2:105" x14ac:dyDescent="0.25">
      <c r="B18" s="3" t="s">
        <v>380</v>
      </c>
      <c r="P18" s="148"/>
      <c r="U18" s="145"/>
      <c r="AC18" s="151"/>
      <c r="AG18" s="171"/>
      <c r="BV18" s="200"/>
      <c r="CC18" s="188"/>
      <c r="CH18" s="180"/>
      <c r="CR18" s="260" t="s">
        <v>330</v>
      </c>
      <c r="CS18" s="241"/>
      <c r="CT18" s="241"/>
      <c r="CU18" s="241"/>
      <c r="CV18" s="241"/>
      <c r="CW18" s="241"/>
      <c r="CX18" s="242"/>
      <c r="DA18" s="169"/>
    </row>
    <row r="19" spans="2:105" x14ac:dyDescent="0.25">
      <c r="B19" s="3" t="s">
        <v>380</v>
      </c>
      <c r="P19" s="148"/>
      <c r="U19" s="145"/>
      <c r="AC19" s="151"/>
      <c r="AG19" s="171"/>
      <c r="BV19" s="200"/>
      <c r="CC19" s="188"/>
      <c r="CH19" s="180"/>
      <c r="CK19">
        <f>1-CM16</f>
        <v>0</v>
      </c>
      <c r="CR19" s="243"/>
      <c r="CS19" s="72"/>
      <c r="CT19" s="72"/>
      <c r="CU19" s="72"/>
      <c r="CV19" s="72"/>
      <c r="CW19" s="72"/>
      <c r="CX19" s="244"/>
      <c r="DA19" s="169"/>
    </row>
    <row r="20" spans="2:105" x14ac:dyDescent="0.25">
      <c r="B20" s="3" t="s">
        <v>380</v>
      </c>
      <c r="P20" s="148"/>
      <c r="U20" s="145"/>
      <c r="AC20" s="151"/>
      <c r="AG20" s="171"/>
      <c r="BV20" s="200"/>
      <c r="CC20" s="188"/>
      <c r="CH20" s="180"/>
      <c r="CK20" s="169"/>
      <c r="CL20" s="170" t="s">
        <v>302</v>
      </c>
      <c r="CM20" s="170" t="s">
        <v>302</v>
      </c>
      <c r="CN20" s="170" t="str">
        <f>CI47</f>
        <v>000001F9</v>
      </c>
      <c r="CO20" s="170"/>
      <c r="CP20" s="170"/>
      <c r="CQ20" s="170"/>
      <c r="CR20" s="243" t="s">
        <v>369</v>
      </c>
      <c r="CS20" s="72"/>
      <c r="CT20" s="72"/>
      <c r="CU20" s="72"/>
      <c r="CV20" s="72"/>
      <c r="CW20" s="72"/>
      <c r="CX20" s="323" t="s">
        <v>295</v>
      </c>
      <c r="CY20" s="171" t="s">
        <v>388</v>
      </c>
      <c r="CZ20" s="169"/>
      <c r="DA20" s="169"/>
    </row>
    <row r="21" spans="2:105" x14ac:dyDescent="0.25">
      <c r="B21" s="3" t="s">
        <v>380</v>
      </c>
      <c r="K21" s="63"/>
      <c r="P21" s="148"/>
      <c r="U21" s="145"/>
      <c r="AC21" s="151"/>
      <c r="AG21" s="171"/>
      <c r="BV21" s="200"/>
      <c r="CC21" s="188"/>
      <c r="CH21" s="180"/>
      <c r="CK21" s="169"/>
      <c r="CR21" s="243"/>
      <c r="CS21" s="72"/>
      <c r="CT21" s="72"/>
      <c r="CU21" s="72"/>
      <c r="CV21" s="72"/>
      <c r="CW21" s="72"/>
      <c r="CX21" s="244"/>
    </row>
    <row r="22" spans="2:105" x14ac:dyDescent="0.25">
      <c r="B22" s="3" t="s">
        <v>380</v>
      </c>
      <c r="P22" s="148"/>
      <c r="U22" s="145"/>
      <c r="AC22" s="151"/>
      <c r="AG22" s="171" t="s">
        <v>300</v>
      </c>
      <c r="AV22" s="161"/>
      <c r="AW22" s="161"/>
      <c r="AX22" s="161"/>
      <c r="AY22" s="161"/>
      <c r="AZ22" s="161"/>
      <c r="BA22" s="161"/>
      <c r="BB22" s="161"/>
      <c r="BC22" s="161"/>
      <c r="BV22" s="200"/>
      <c r="BX22" s="161"/>
      <c r="BY22" s="161"/>
      <c r="BZ22" s="161"/>
      <c r="CA22" s="161"/>
      <c r="CC22" s="188"/>
      <c r="CE22" s="161"/>
      <c r="CF22" s="161"/>
      <c r="CH22" s="180"/>
      <c r="CJ22" s="161"/>
      <c r="CK22" s="169"/>
      <c r="CM22" s="161" t="s">
        <v>371</v>
      </c>
      <c r="CN22" s="163"/>
      <c r="CO22" s="492">
        <f>BF38</f>
        <v>49</v>
      </c>
      <c r="CP22" s="492"/>
      <c r="CQ22" s="493"/>
      <c r="CR22" s="243" t="s">
        <v>295</v>
      </c>
      <c r="CS22" s="72"/>
      <c r="CT22" s="72"/>
      <c r="CU22" s="72"/>
      <c r="CV22" s="72"/>
      <c r="CW22" s="72"/>
      <c r="CX22" s="244"/>
    </row>
    <row r="23" spans="2:105" x14ac:dyDescent="0.25">
      <c r="B23" s="3" t="s">
        <v>380</v>
      </c>
      <c r="P23" s="148"/>
      <c r="U23" s="145"/>
      <c r="AC23" s="151"/>
      <c r="AG23" s="171" t="s">
        <v>300</v>
      </c>
      <c r="AV23" s="161"/>
      <c r="BV23" s="200"/>
      <c r="CC23" s="188"/>
      <c r="CH23" s="180"/>
      <c r="CK23" s="169"/>
      <c r="CR23" s="243"/>
      <c r="CS23" s="72"/>
      <c r="CT23" s="72"/>
      <c r="CU23" s="72"/>
      <c r="CV23" s="72"/>
      <c r="CW23" s="72"/>
      <c r="CX23" s="244"/>
    </row>
    <row r="24" spans="2:105" x14ac:dyDescent="0.25">
      <c r="B24" s="3" t="s">
        <v>380</v>
      </c>
      <c r="P24" s="148"/>
      <c r="U24" s="145"/>
      <c r="AC24" s="151"/>
      <c r="AG24" s="171" t="s">
        <v>300</v>
      </c>
      <c r="AI24" s="144"/>
      <c r="AJ24" s="144"/>
      <c r="AK24" s="144"/>
      <c r="AL24" s="144" t="s">
        <v>7</v>
      </c>
      <c r="AM24" s="150"/>
      <c r="AN24" s="485" t="str">
        <f>DEC2BIN(0,5)</f>
        <v>00000</v>
      </c>
      <c r="AO24" s="486"/>
      <c r="AP24" s="489">
        <v>0</v>
      </c>
      <c r="AQ24" s="490"/>
      <c r="AR24" s="490"/>
      <c r="AS24" s="491"/>
      <c r="AT24" s="153" t="str">
        <f>IF(AL24=$U$16,"============",IF(AL24=$P$16,"======","|"))</f>
        <v>|</v>
      </c>
      <c r="AV24" s="161"/>
      <c r="AX24" s="160"/>
      <c r="BV24" s="200"/>
      <c r="CC24" s="188"/>
      <c r="CH24" s="180"/>
      <c r="CK24" s="169"/>
      <c r="CN24" s="180" t="str">
        <f>BC7</f>
        <v>NotStype</v>
      </c>
      <c r="CO24" s="180"/>
      <c r="CP24" s="180"/>
      <c r="CQ24" s="261">
        <f>BB7</f>
        <v>0</v>
      </c>
      <c r="CR24" s="243" t="s">
        <v>370</v>
      </c>
      <c r="CS24" s="72"/>
      <c r="CT24" s="72"/>
      <c r="CU24" s="72"/>
      <c r="CV24" s="72"/>
      <c r="CW24" s="72"/>
      <c r="CX24" s="244"/>
    </row>
    <row r="25" spans="2:105" x14ac:dyDescent="0.25">
      <c r="B25" s="3" t="s">
        <v>380</v>
      </c>
      <c r="P25" s="148"/>
      <c r="U25" s="145"/>
      <c r="AC25" s="151"/>
      <c r="AF25" s="171"/>
      <c r="AG25" s="169"/>
      <c r="AH25" s="235" t="str">
        <f>BO16</f>
        <v>AB123</v>
      </c>
      <c r="AI25" s="151" t="s">
        <v>295</v>
      </c>
      <c r="AJ25" s="151"/>
      <c r="AK25" s="144"/>
      <c r="AL25" s="144" t="s">
        <v>25</v>
      </c>
      <c r="AM25" s="150"/>
      <c r="AN25" s="485" t="str">
        <f>DEC2BIN(1,5)</f>
        <v>00001</v>
      </c>
      <c r="AO25" s="486"/>
      <c r="AP25" s="482" t="s">
        <v>335</v>
      </c>
      <c r="AQ25" s="483"/>
      <c r="AR25" s="483"/>
      <c r="AS25" s="484"/>
      <c r="AT25" s="153" t="str">
        <f t="shared" ref="AT25:AT55" si="2">IF(AL25=$U$16,"============",IF(AL25=$P$16,"======","|"))</f>
        <v>|</v>
      </c>
      <c r="AV25" s="161"/>
      <c r="AX25" s="160"/>
      <c r="BV25" s="200"/>
      <c r="CC25" s="188"/>
      <c r="CH25" s="180"/>
      <c r="CK25" s="169"/>
      <c r="CQ25" s="1"/>
      <c r="CR25" s="243"/>
      <c r="CS25" s="72"/>
      <c r="CT25" s="72"/>
      <c r="CU25" s="72"/>
      <c r="CV25" s="72"/>
      <c r="CW25" s="72"/>
      <c r="CX25" s="244"/>
    </row>
    <row r="26" spans="2:105" x14ac:dyDescent="0.25">
      <c r="B26" s="3" t="s">
        <v>380</v>
      </c>
      <c r="P26" s="148"/>
      <c r="U26" s="145"/>
      <c r="AC26" s="151"/>
      <c r="AI26" s="144"/>
      <c r="AJ26" s="144"/>
      <c r="AK26" s="144"/>
      <c r="AL26" s="144" t="s">
        <v>34</v>
      </c>
      <c r="AM26" s="150"/>
      <c r="AN26" s="485" t="str">
        <f>DEC2BIN(2,5)</f>
        <v>00010</v>
      </c>
      <c r="AO26" s="486"/>
      <c r="AP26" s="482" t="s">
        <v>336</v>
      </c>
      <c r="AQ26" s="483"/>
      <c r="AR26" s="483"/>
      <c r="AS26" s="484"/>
      <c r="AT26" s="153" t="str">
        <f t="shared" si="2"/>
        <v>|</v>
      </c>
      <c r="AV26" s="161"/>
      <c r="AX26" s="160"/>
      <c r="BV26" s="200" t="str">
        <f xml:space="preserve"> "instruction(" &amp; H3&amp;")"</f>
        <v>instruction(30)</v>
      </c>
      <c r="CC26" s="188" t="str">
        <f>BC9</f>
        <v>NotRtype</v>
      </c>
      <c r="CH26" s="180"/>
      <c r="CK26" s="169"/>
      <c r="CN26" t="s">
        <v>385</v>
      </c>
      <c r="CQ26" s="324">
        <f>IsLoadIns</f>
        <v>1</v>
      </c>
      <c r="CR26" s="245" t="s">
        <v>384</v>
      </c>
      <c r="CS26" s="246"/>
      <c r="CT26" s="246"/>
      <c r="CU26" s="246"/>
      <c r="CV26" s="246"/>
      <c r="CW26" s="246"/>
      <c r="CX26" s="247"/>
    </row>
    <row r="27" spans="2:105" x14ac:dyDescent="0.25">
      <c r="B27" s="3" t="s">
        <v>380</v>
      </c>
      <c r="P27" s="148"/>
      <c r="U27" s="145" t="str">
        <f>U16</f>
        <v>t1</v>
      </c>
      <c r="V27" s="145"/>
      <c r="W27" s="145"/>
      <c r="X27" s="145"/>
      <c r="Y27" s="145"/>
      <c r="Z27" s="145"/>
      <c r="AA27" s="146"/>
      <c r="AB27" s="145"/>
      <c r="AC27" s="145"/>
      <c r="AD27" s="156">
        <f>U17</f>
        <v>6</v>
      </c>
      <c r="AE27" s="145"/>
      <c r="AF27" s="145"/>
      <c r="AG27" s="145"/>
      <c r="AH27" s="147" t="str">
        <f>DEC2BIN(VLOOKUP(U16, TableRegisters[],2,FALSE),5)</f>
        <v>00110</v>
      </c>
      <c r="AI27" s="144" t="s">
        <v>296</v>
      </c>
      <c r="AJ27" s="144"/>
      <c r="AK27" s="144"/>
      <c r="AL27" s="144" t="s">
        <v>40</v>
      </c>
      <c r="AM27" s="150"/>
      <c r="AN27" s="485" t="str">
        <f>DEC2BIN(3,5)</f>
        <v>00011</v>
      </c>
      <c r="AO27" s="486"/>
      <c r="AP27" s="482" t="s">
        <v>337</v>
      </c>
      <c r="AQ27" s="483"/>
      <c r="AR27" s="483"/>
      <c r="AS27" s="484"/>
      <c r="AT27" s="153" t="str">
        <f t="shared" si="2"/>
        <v>|</v>
      </c>
      <c r="AV27" s="161"/>
      <c r="AX27" s="160"/>
      <c r="BV27" s="200" t="s">
        <v>315</v>
      </c>
      <c r="CC27" s="188" t="s">
        <v>249</v>
      </c>
      <c r="CH27" s="180"/>
      <c r="CK27" s="169"/>
    </row>
    <row r="28" spans="2:105" ht="15.75" thickBot="1" x14ac:dyDescent="0.3">
      <c r="B28" s="3" t="s">
        <v>380</v>
      </c>
      <c r="P28" s="148"/>
      <c r="AC28" s="151"/>
      <c r="AD28" s="157"/>
      <c r="AI28" s="144"/>
      <c r="AJ28" s="144"/>
      <c r="AK28" s="144"/>
      <c r="AL28" s="144" t="s">
        <v>45</v>
      </c>
      <c r="AM28" s="150"/>
      <c r="AN28" s="485" t="str">
        <f>DEC2BIN(4,5)</f>
        <v>00100</v>
      </c>
      <c r="AO28" s="486"/>
      <c r="AP28" s="482" t="s">
        <v>338</v>
      </c>
      <c r="AQ28" s="483"/>
      <c r="AR28" s="483"/>
      <c r="AS28" s="484"/>
      <c r="AT28" s="153" t="str">
        <f t="shared" si="2"/>
        <v>|</v>
      </c>
      <c r="AV28" s="161"/>
      <c r="AX28" s="160"/>
      <c r="BV28" s="203"/>
      <c r="CC28" s="188"/>
      <c r="CH28" s="180"/>
      <c r="CK28" s="169"/>
    </row>
    <row r="29" spans="2:105" ht="15.75" thickBot="1" x14ac:dyDescent="0.3">
      <c r="B29" s="3" t="s">
        <v>380</v>
      </c>
      <c r="P29" s="148" t="str">
        <f>P16</f>
        <v>a7</v>
      </c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58">
        <f>P17</f>
        <v>17</v>
      </c>
      <c r="AE29" s="148"/>
      <c r="AF29" s="148"/>
      <c r="AG29" s="148"/>
      <c r="AH29" s="149" t="str">
        <f>DEC2BIN(VLOOKUP(P16, TableRegisters[],2,FALSE),5)</f>
        <v>10001</v>
      </c>
      <c r="AI29" s="144" t="s">
        <v>296</v>
      </c>
      <c r="AJ29" s="144"/>
      <c r="AK29" s="144"/>
      <c r="AL29" s="144" t="s">
        <v>51</v>
      </c>
      <c r="AM29" s="150"/>
      <c r="AN29" s="485" t="str">
        <f>DEC2BIN(5,5)</f>
        <v>00101</v>
      </c>
      <c r="AO29" s="486"/>
      <c r="AP29" s="482" t="s">
        <v>339</v>
      </c>
      <c r="AQ29" s="483"/>
      <c r="AR29" s="483"/>
      <c r="AS29" s="484"/>
      <c r="AT29" s="153" t="str">
        <f t="shared" si="2"/>
        <v>|</v>
      </c>
      <c r="AV29" s="161"/>
      <c r="AX29" s="160"/>
      <c r="BK29" s="214" t="s">
        <v>294</v>
      </c>
      <c r="BL29" s="209"/>
      <c r="BM29" s="209"/>
      <c r="BN29" s="209"/>
      <c r="BO29" s="209"/>
      <c r="BP29" s="209"/>
      <c r="BQ29" s="209"/>
      <c r="BR29" s="209"/>
      <c r="BS29" s="209"/>
      <c r="BT29" s="209"/>
      <c r="BU29" s="209"/>
      <c r="BV29" s="204" t="str">
        <f>H5</f>
        <v>0</v>
      </c>
      <c r="BW29" s="209"/>
      <c r="BX29" s="209"/>
      <c r="BY29" s="209"/>
      <c r="BZ29" s="209"/>
      <c r="CA29" s="209"/>
      <c r="CB29" s="209"/>
      <c r="CC29" s="205" t="str">
        <f>_xlfn.CONCAT(X5:Z5)</f>
        <v>101</v>
      </c>
      <c r="CD29" s="209"/>
      <c r="CE29" s="209"/>
      <c r="CF29" s="209"/>
      <c r="CG29" s="209"/>
      <c r="CH29" s="258" t="str">
        <f>IF(BB6=1,"I",IF(BB7=1,"S",IF(BB8=1,"U",IF(BB9=1,"R",IF(BB10=1,"B",IF(BB11=1,"J","?"))))))</f>
        <v>I</v>
      </c>
      <c r="CI29" s="210"/>
      <c r="CK29" s="169"/>
    </row>
    <row r="30" spans="2:105" x14ac:dyDescent="0.25">
      <c r="B30" s="3" t="s">
        <v>380</v>
      </c>
      <c r="AC30" s="151"/>
      <c r="AD30" s="157"/>
      <c r="AI30" s="144"/>
      <c r="AJ30" s="144"/>
      <c r="AK30" s="144"/>
      <c r="AL30" s="144" t="s">
        <v>56</v>
      </c>
      <c r="AM30" s="150"/>
      <c r="AN30" s="485" t="str">
        <f>DEC2BIN(6,5)</f>
        <v>00110</v>
      </c>
      <c r="AO30" s="486"/>
      <c r="AP30" s="482" t="s">
        <v>340</v>
      </c>
      <c r="AQ30" s="483"/>
      <c r="AR30" s="483"/>
      <c r="AS30" s="484"/>
      <c r="AT30" s="153" t="str">
        <f t="shared" si="2"/>
        <v>============</v>
      </c>
      <c r="AV30" s="161"/>
      <c r="AX30" s="160"/>
      <c r="BK30" s="325"/>
      <c r="BL30" s="326"/>
      <c r="BM30" s="326"/>
      <c r="BN30" s="326"/>
      <c r="BO30" s="327"/>
      <c r="BP30" s="326"/>
      <c r="BQ30" s="326"/>
      <c r="BR30" s="326"/>
      <c r="BS30" s="326"/>
      <c r="BT30" s="326"/>
      <c r="BU30" s="326"/>
      <c r="BV30" s="326"/>
      <c r="BW30" s="326"/>
      <c r="BX30" s="326"/>
      <c r="BY30" s="326"/>
      <c r="BZ30" s="326"/>
      <c r="CA30" s="326"/>
      <c r="CB30" s="326"/>
      <c r="CC30" s="326"/>
      <c r="CD30" s="326"/>
      <c r="CE30" s="326"/>
      <c r="CF30" s="327" t="s">
        <v>368</v>
      </c>
      <c r="CG30" s="326"/>
      <c r="CH30" s="326"/>
      <c r="CI30" s="328"/>
      <c r="CK30" s="169"/>
    </row>
    <row r="31" spans="2:105" ht="15.75" thickBot="1" x14ac:dyDescent="0.3">
      <c r="B31" s="3" t="s">
        <v>380</v>
      </c>
      <c r="AC31" s="151"/>
      <c r="AD31" s="159">
        <f>AC17</f>
        <v>10</v>
      </c>
      <c r="AE31" s="151"/>
      <c r="AF31" s="151"/>
      <c r="AG31" s="151"/>
      <c r="AH31" s="152" t="str">
        <f>DEC2BIN(VLOOKUP(AC16, TableRegisters[],2,FALSE),5)</f>
        <v>01010</v>
      </c>
      <c r="AI31" s="144" t="s">
        <v>296</v>
      </c>
      <c r="AJ31" s="144"/>
      <c r="AK31" s="144"/>
      <c r="AL31" s="144" t="s">
        <v>61</v>
      </c>
      <c r="AM31" s="150"/>
      <c r="AN31" s="485" t="str">
        <f>DEC2BIN(7,5)</f>
        <v>00111</v>
      </c>
      <c r="AO31" s="486"/>
      <c r="AP31" s="482" t="s">
        <v>341</v>
      </c>
      <c r="AQ31" s="483"/>
      <c r="AR31" s="483"/>
      <c r="AS31" s="484"/>
      <c r="AT31" s="153" t="str">
        <f t="shared" si="2"/>
        <v>|</v>
      </c>
      <c r="AV31" s="161"/>
      <c r="AX31" s="160"/>
      <c r="BK31" s="237"/>
      <c r="BL31" s="238"/>
      <c r="BM31" s="238"/>
      <c r="BN31" s="238"/>
      <c r="BO31" s="329"/>
      <c r="BP31" s="238"/>
      <c r="BQ31" s="238"/>
      <c r="BR31" s="238"/>
      <c r="BS31" s="330" t="str">
        <f>BR34</f>
        <v>000001F9</v>
      </c>
      <c r="BT31" s="330"/>
      <c r="BU31" s="330"/>
      <c r="BV31" s="331"/>
      <c r="BW31" s="238"/>
      <c r="BX31" s="238"/>
      <c r="BY31" s="238"/>
      <c r="BZ31" s="238"/>
      <c r="CA31" s="238"/>
      <c r="CB31" s="238"/>
      <c r="CC31" s="238"/>
      <c r="CD31" s="238"/>
      <c r="CE31" s="238"/>
      <c r="CF31" s="238"/>
      <c r="CG31" s="238"/>
      <c r="CH31" s="330"/>
      <c r="CI31" s="239"/>
      <c r="CK31" s="169"/>
    </row>
    <row r="32" spans="2:105" x14ac:dyDescent="0.25">
      <c r="B32" s="3" t="s">
        <v>380</v>
      </c>
      <c r="AI32" s="144"/>
      <c r="AJ32" s="144"/>
      <c r="AK32" s="144"/>
      <c r="AL32" s="144" t="s">
        <v>66</v>
      </c>
      <c r="AM32" s="150"/>
      <c r="AN32" s="485" t="str">
        <f>DEC2BIN(8,5)</f>
        <v>01000</v>
      </c>
      <c r="AO32" s="486"/>
      <c r="AP32" s="482" t="s">
        <v>342</v>
      </c>
      <c r="AQ32" s="483"/>
      <c r="AR32" s="483"/>
      <c r="AS32" s="484"/>
      <c r="AT32" s="153" t="str">
        <f t="shared" si="2"/>
        <v>|</v>
      </c>
      <c r="AV32" s="161"/>
      <c r="AX32" s="160"/>
      <c r="BK32" s="213"/>
      <c r="BL32" s="151"/>
      <c r="BM32" s="151"/>
      <c r="BN32" s="151"/>
      <c r="BO32" s="231"/>
      <c r="BP32" s="151"/>
      <c r="BQ32" s="151"/>
      <c r="BR32" s="151"/>
      <c r="BS32" s="180"/>
      <c r="BT32" s="151"/>
      <c r="BU32" s="151" t="s">
        <v>311</v>
      </c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80"/>
      <c r="CI32" s="211"/>
      <c r="CK32" s="169"/>
    </row>
    <row r="33" spans="2:91" x14ac:dyDescent="0.25">
      <c r="B33" s="3" t="s">
        <v>380</v>
      </c>
      <c r="AI33" s="144"/>
      <c r="AJ33" s="144"/>
      <c r="AK33" s="144"/>
      <c r="AL33" s="144" t="s">
        <v>70</v>
      </c>
      <c r="AM33" s="150"/>
      <c r="AN33" s="485" t="str">
        <f>DEC2BIN(9,5)</f>
        <v>01001</v>
      </c>
      <c r="AO33" s="486"/>
      <c r="AP33" s="482" t="s">
        <v>343</v>
      </c>
      <c r="AQ33" s="483"/>
      <c r="AR33" s="483"/>
      <c r="AS33" s="484"/>
      <c r="AT33" s="153" t="str">
        <f t="shared" si="2"/>
        <v>|</v>
      </c>
      <c r="AV33" s="161"/>
      <c r="AX33" s="160"/>
      <c r="BK33" s="213"/>
      <c r="BL33" s="151"/>
      <c r="BM33" s="164"/>
      <c r="BN33" s="164"/>
      <c r="BO33" s="221"/>
      <c r="BP33" s="222"/>
      <c r="BQ33" s="223" t="str">
        <f>$BI$35</f>
        <v>1B0</v>
      </c>
      <c r="BR33" s="151"/>
      <c r="BS33" s="180"/>
      <c r="BT33" s="151"/>
      <c r="BU33" s="151" t="s">
        <v>313</v>
      </c>
      <c r="BV33" s="200"/>
      <c r="BW33" s="151"/>
      <c r="BX33" s="151"/>
      <c r="BY33" s="151"/>
      <c r="BZ33" s="151"/>
      <c r="CA33" s="151"/>
      <c r="CB33" s="151"/>
      <c r="CC33" s="212"/>
      <c r="CD33" s="151"/>
      <c r="CE33" s="151"/>
      <c r="CF33" s="151"/>
      <c r="CG33" s="151"/>
      <c r="CH33" s="180"/>
      <c r="CI33" s="211"/>
      <c r="CK33" s="169"/>
    </row>
    <row r="34" spans="2:91" x14ac:dyDescent="0.25">
      <c r="B34" s="3" t="s">
        <v>380</v>
      </c>
      <c r="AI34" s="144"/>
      <c r="AJ34" s="144"/>
      <c r="AK34" s="144"/>
      <c r="AL34" s="144" t="s">
        <v>74</v>
      </c>
      <c r="AM34" s="150"/>
      <c r="AN34" s="485" t="str">
        <f>DEC2BIN(10,5)</f>
        <v>01010</v>
      </c>
      <c r="AO34" s="486"/>
      <c r="AP34" s="482" t="s">
        <v>344</v>
      </c>
      <c r="AQ34" s="483"/>
      <c r="AR34" s="483"/>
      <c r="AS34" s="484"/>
      <c r="AT34" s="153" t="str">
        <f t="shared" si="2"/>
        <v>|</v>
      </c>
      <c r="AV34" s="161"/>
      <c r="AX34" s="160"/>
      <c r="BH34" t="s">
        <v>243</v>
      </c>
      <c r="BK34" s="213"/>
      <c r="BL34" s="151"/>
      <c r="BM34" s="164"/>
      <c r="BN34" s="151"/>
      <c r="BO34" s="224" t="s">
        <v>118</v>
      </c>
      <c r="BP34" s="229"/>
      <c r="BQ34" s="225"/>
      <c r="BR34" s="494" t="str">
        <f>DEC2HEX(HEX2DEC(BQ33)+HEX2DEC(BQ35),8)</f>
        <v>000001F9</v>
      </c>
      <c r="BS34" s="495"/>
      <c r="BT34" s="151" t="str">
        <f>IF($H$5=0,"======","|")</f>
        <v>|</v>
      </c>
      <c r="BU34" s="151"/>
      <c r="BV34" s="200"/>
      <c r="BW34" s="151"/>
      <c r="BX34" s="151"/>
      <c r="BY34" s="151"/>
      <c r="BZ34" s="151"/>
      <c r="CA34" s="231"/>
      <c r="CB34" s="151"/>
      <c r="CC34" s="212"/>
      <c r="CD34" s="151"/>
      <c r="CE34" s="151"/>
      <c r="CF34" s="151"/>
      <c r="CG34" s="151"/>
      <c r="CH34" s="180"/>
      <c r="CI34" s="211"/>
      <c r="CK34" s="169"/>
    </row>
    <row r="35" spans="2:91" x14ac:dyDescent="0.25">
      <c r="B35" s="3" t="s">
        <v>380</v>
      </c>
      <c r="AI35" s="144"/>
      <c r="AJ35" s="144"/>
      <c r="AK35" s="144"/>
      <c r="AL35" s="144" t="s">
        <v>78</v>
      </c>
      <c r="AM35" s="150"/>
      <c r="AN35" s="485" t="str">
        <f>DEC2BIN(11,5)</f>
        <v>01011</v>
      </c>
      <c r="AO35" s="486"/>
      <c r="AP35" s="482" t="s">
        <v>345</v>
      </c>
      <c r="AQ35" s="483"/>
      <c r="AR35" s="483"/>
      <c r="AS35" s="484"/>
      <c r="AT35" s="153" t="str">
        <f t="shared" si="2"/>
        <v>|</v>
      </c>
      <c r="AV35" s="161"/>
      <c r="AX35" s="162" t="str">
        <f>U16</f>
        <v>t1</v>
      </c>
      <c r="AY35" s="160"/>
      <c r="AZ35" s="160"/>
      <c r="BA35" s="160"/>
      <c r="BB35" s="160"/>
      <c r="BC35" s="160"/>
      <c r="BD35" s="160"/>
      <c r="BE35" s="160"/>
      <c r="BF35" s="160"/>
      <c r="BG35" s="160"/>
      <c r="BH35" s="160"/>
      <c r="BI35" s="164" t="str" cm="1">
        <f t="array" ref="BI35">INDEX(AP24:AS55,U17+1,1)</f>
        <v>1B0</v>
      </c>
      <c r="BJ35" s="164"/>
      <c r="BK35" s="213"/>
      <c r="BL35" s="161"/>
      <c r="BM35" s="161"/>
      <c r="BN35" s="161"/>
      <c r="BO35" s="226"/>
      <c r="BP35" s="227"/>
      <c r="BQ35" s="228">
        <f>$BF$38</f>
        <v>49</v>
      </c>
      <c r="BR35" s="151"/>
      <c r="BS35" s="151"/>
      <c r="BT35" s="151"/>
      <c r="BU35" s="151"/>
      <c r="BV35" s="200"/>
      <c r="BW35" s="151"/>
      <c r="BX35" s="151"/>
      <c r="BY35" s="151"/>
      <c r="BZ35" s="151"/>
      <c r="CA35" s="151"/>
      <c r="CB35" s="151" t="s">
        <v>313</v>
      </c>
      <c r="CC35" s="212"/>
      <c r="CD35" s="151"/>
      <c r="CE35" s="151"/>
      <c r="CF35" s="151"/>
      <c r="CG35" s="151"/>
      <c r="CH35" s="180"/>
      <c r="CI35" s="211"/>
      <c r="CK35" s="169"/>
    </row>
    <row r="36" spans="2:91" x14ac:dyDescent="0.25">
      <c r="B36" s="3" t="s">
        <v>380</v>
      </c>
      <c r="J36" s="207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208"/>
      <c r="AI36" s="144"/>
      <c r="AJ36" s="144"/>
      <c r="AK36" s="144"/>
      <c r="AL36" s="144" t="s">
        <v>82</v>
      </c>
      <c r="AM36" s="150"/>
      <c r="AN36" s="485" t="str">
        <f>DEC2BIN(12,5)</f>
        <v>01100</v>
      </c>
      <c r="AO36" s="486"/>
      <c r="AP36" s="482" t="s">
        <v>346</v>
      </c>
      <c r="AQ36" s="483"/>
      <c r="AR36" s="483"/>
      <c r="AS36" s="484"/>
      <c r="AT36" s="153" t="str">
        <f t="shared" si="2"/>
        <v>|</v>
      </c>
      <c r="AV36" s="161"/>
      <c r="AX36" s="160"/>
      <c r="BK36" s="213"/>
      <c r="BL36" s="161"/>
      <c r="BM36" s="164"/>
      <c r="BN36" s="151"/>
      <c r="BO36" s="151"/>
      <c r="BP36" s="151"/>
      <c r="BQ36" s="151"/>
      <c r="BR36" s="151"/>
      <c r="BS36" s="151"/>
      <c r="BT36" s="151"/>
      <c r="BU36" s="151"/>
      <c r="BV36" s="317" t="str">
        <f>IF(BV29=0,BR34,BR38)</f>
        <v>00000167</v>
      </c>
      <c r="BW36" s="200"/>
      <c r="BX36" s="200"/>
      <c r="BY36" s="151" t="str">
        <f>IF(funct3="000","==========","|")</f>
        <v>|</v>
      </c>
      <c r="BZ36" s="151"/>
      <c r="CA36" s="151"/>
      <c r="CB36" s="151"/>
      <c r="CC36" s="212"/>
      <c r="CD36" s="151"/>
      <c r="CE36" s="151"/>
      <c r="CF36" s="151"/>
      <c r="CG36" s="151"/>
      <c r="CH36" s="180"/>
      <c r="CI36" s="211"/>
      <c r="CJ36" s="172"/>
      <c r="CK36" s="173"/>
      <c r="CL36" s="172"/>
      <c r="CM36" s="172"/>
    </row>
    <row r="37" spans="2:91" x14ac:dyDescent="0.25">
      <c r="B37" s="3" t="s">
        <v>380</v>
      </c>
      <c r="J37" s="175"/>
      <c r="K37" t="s">
        <v>321</v>
      </c>
      <c r="AF37" s="83"/>
      <c r="AI37" s="144"/>
      <c r="AJ37" s="144"/>
      <c r="AK37" s="144"/>
      <c r="AL37" s="144" t="s">
        <v>87</v>
      </c>
      <c r="AM37" s="150"/>
      <c r="AN37" s="485" t="str">
        <f>DEC2BIN(13,5)</f>
        <v>01101</v>
      </c>
      <c r="AO37" s="486"/>
      <c r="AP37" s="482" t="s">
        <v>347</v>
      </c>
      <c r="AQ37" s="483"/>
      <c r="AR37" s="483"/>
      <c r="AS37" s="484"/>
      <c r="AT37" s="153" t="str">
        <f t="shared" si="2"/>
        <v>|</v>
      </c>
      <c r="AV37" s="161"/>
      <c r="AX37" s="160"/>
      <c r="AZ37" s="180" t="s">
        <v>377</v>
      </c>
      <c r="BA37" s="181"/>
      <c r="BB37" s="180"/>
      <c r="BC37" s="180"/>
      <c r="BD37" s="180"/>
      <c r="BH37" t="s">
        <v>266</v>
      </c>
      <c r="BK37" s="165"/>
      <c r="BL37" s="164"/>
      <c r="BM37" s="164"/>
      <c r="BN37" s="164"/>
      <c r="BO37" s="221"/>
      <c r="BP37" s="222"/>
      <c r="BQ37" s="223" t="str">
        <f>$BI$35</f>
        <v>1B0</v>
      </c>
      <c r="BR37" s="151"/>
      <c r="BS37" s="151"/>
      <c r="BT37" s="151"/>
      <c r="BU37" s="151" t="s">
        <v>314</v>
      </c>
      <c r="BV37" s="200"/>
      <c r="BW37" s="151"/>
      <c r="BX37" s="151"/>
      <c r="BY37" s="151"/>
      <c r="BZ37" s="151"/>
      <c r="CA37" s="151"/>
      <c r="CB37" s="151"/>
      <c r="CC37" s="212"/>
      <c r="CD37" s="151"/>
      <c r="CE37" s="151"/>
      <c r="CF37" s="151"/>
      <c r="CG37" s="151"/>
      <c r="CH37" s="180"/>
      <c r="CI37" s="211"/>
      <c r="CJ37" s="172"/>
      <c r="CK37" s="173" t="s">
        <v>301</v>
      </c>
      <c r="CL37" s="172"/>
      <c r="CM37" s="172"/>
    </row>
    <row r="38" spans="2:91" ht="15.75" thickBot="1" x14ac:dyDescent="0.3">
      <c r="B38" s="3" t="s">
        <v>380</v>
      </c>
      <c r="J38" s="175"/>
      <c r="Q38" s="249" t="s">
        <v>323</v>
      </c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F38" s="83"/>
      <c r="AI38" s="144"/>
      <c r="AJ38" s="144"/>
      <c r="AK38" s="144"/>
      <c r="AL38" s="144" t="s">
        <v>92</v>
      </c>
      <c r="AM38" s="150"/>
      <c r="AN38" s="485" t="str">
        <f>DEC2BIN(14,5)</f>
        <v>01110</v>
      </c>
      <c r="AO38" s="486"/>
      <c r="AP38" s="482" t="s">
        <v>348</v>
      </c>
      <c r="AQ38" s="483"/>
      <c r="AR38" s="483"/>
      <c r="AS38" s="484"/>
      <c r="AT38" s="153" t="str">
        <f t="shared" si="2"/>
        <v>|</v>
      </c>
      <c r="AV38" s="163" t="str">
        <f>P16</f>
        <v>a7</v>
      </c>
      <c r="AW38" s="161"/>
      <c r="AX38" s="160"/>
      <c r="AY38" s="161"/>
      <c r="AZ38">
        <f>IF((IsRtype+IsBtype)&gt;0,1,0)</f>
        <v>0</v>
      </c>
      <c r="BD38" s="161"/>
      <c r="BE38" s="161"/>
      <c r="BF38" s="492" cm="1">
        <f t="array" ref="BF38">IF(IsRBtype=1,INDEX(AP24:AS55,P17+1,1),BD45)</f>
        <v>49</v>
      </c>
      <c r="BG38" s="492"/>
      <c r="BH38" s="492"/>
      <c r="BI38" s="492"/>
      <c r="BJ38" s="161"/>
      <c r="BK38" s="213"/>
      <c r="BL38" s="161"/>
      <c r="BM38" s="164"/>
      <c r="BN38" s="151"/>
      <c r="BO38" s="224" t="s">
        <v>125</v>
      </c>
      <c r="BP38" s="229"/>
      <c r="BQ38" s="225"/>
      <c r="BR38" s="494" t="str">
        <f>DEC2HEX(HEX2DEC(BQ37)-HEX2DEC(BQ39),8)</f>
        <v>00000167</v>
      </c>
      <c r="BS38" s="495"/>
      <c r="BT38" s="151" t="str">
        <f>IF($H$5=1,"======","|")</f>
        <v>|</v>
      </c>
      <c r="BU38" s="151"/>
      <c r="BV38" s="200"/>
      <c r="BW38" s="151"/>
      <c r="BX38" s="151"/>
      <c r="BY38" s="151"/>
      <c r="BZ38" s="151"/>
      <c r="CA38" s="231"/>
      <c r="CB38" s="151"/>
      <c r="CC38" s="212"/>
      <c r="CD38" s="151"/>
      <c r="CE38" s="151"/>
      <c r="CF38" s="151"/>
      <c r="CG38" s="151"/>
      <c r="CH38" s="180"/>
      <c r="CI38" s="211"/>
      <c r="CJ38" s="172"/>
      <c r="CK38" s="173" t="s">
        <v>301</v>
      </c>
      <c r="CL38" s="172"/>
      <c r="CM38" s="172"/>
    </row>
    <row r="39" spans="2:91" ht="15.75" thickTop="1" x14ac:dyDescent="0.25">
      <c r="B39" s="3" t="s">
        <v>380</v>
      </c>
      <c r="J39" s="175"/>
      <c r="AA39" s="248"/>
      <c r="AF39" s="83"/>
      <c r="AI39" s="144"/>
      <c r="AJ39" s="144"/>
      <c r="AK39" s="144"/>
      <c r="AL39" s="144" t="s">
        <v>97</v>
      </c>
      <c r="AM39" s="150"/>
      <c r="AN39" s="485" t="str">
        <f>DEC2BIN(15,5)</f>
        <v>01111</v>
      </c>
      <c r="AO39" s="486"/>
      <c r="AP39" s="482" t="s">
        <v>349</v>
      </c>
      <c r="AQ39" s="483"/>
      <c r="AR39" s="483"/>
      <c r="AS39" s="484"/>
      <c r="AT39" s="153" t="str">
        <f t="shared" si="2"/>
        <v>|</v>
      </c>
      <c r="AV39" s="161"/>
      <c r="AX39" s="160"/>
      <c r="BD39" s="161"/>
      <c r="BK39" s="213"/>
      <c r="BL39" s="161"/>
      <c r="BM39" s="161"/>
      <c r="BN39" s="161"/>
      <c r="BO39" s="226"/>
      <c r="BP39" s="227"/>
      <c r="BQ39" s="228">
        <f>$BF$38</f>
        <v>49</v>
      </c>
      <c r="BR39" s="151"/>
      <c r="BS39" s="151"/>
      <c r="BT39" s="151"/>
      <c r="BU39" s="151"/>
      <c r="BV39" s="200"/>
      <c r="BW39" s="151"/>
      <c r="BX39" s="151"/>
      <c r="BY39" s="151"/>
      <c r="BZ39" s="151"/>
      <c r="CA39" s="151"/>
      <c r="CB39" s="151"/>
      <c r="CC39" s="212"/>
      <c r="CD39" s="151"/>
      <c r="CE39" s="151"/>
      <c r="CF39" s="151"/>
      <c r="CG39" s="151"/>
      <c r="CH39" s="180"/>
      <c r="CI39" s="211"/>
      <c r="CJ39" s="172"/>
      <c r="CK39" s="173"/>
      <c r="CL39" s="172"/>
      <c r="CM39" s="172"/>
    </row>
    <row r="40" spans="2:91" x14ac:dyDescent="0.25">
      <c r="B40" s="3" t="s">
        <v>380</v>
      </c>
      <c r="J40" s="175"/>
      <c r="Y40" s="248"/>
      <c r="Z40" s="251"/>
      <c r="AA40" s="248"/>
      <c r="AB40" t="s">
        <v>322</v>
      </c>
      <c r="AF40" s="83"/>
      <c r="AI40" s="144"/>
      <c r="AJ40" s="144"/>
      <c r="AK40" s="144"/>
      <c r="AL40" s="144" t="s">
        <v>103</v>
      </c>
      <c r="AM40" s="150"/>
      <c r="AN40" s="485" t="str">
        <f>DEC2BIN(16,5)</f>
        <v>10000</v>
      </c>
      <c r="AO40" s="486"/>
      <c r="AP40" s="482" t="s">
        <v>350</v>
      </c>
      <c r="AQ40" s="483"/>
      <c r="AR40" s="483"/>
      <c r="AS40" s="484"/>
      <c r="AT40" s="153" t="str">
        <f t="shared" si="2"/>
        <v>|</v>
      </c>
      <c r="AV40" s="161"/>
      <c r="AX40" s="160"/>
      <c r="BC40" s="497" t="s">
        <v>383</v>
      </c>
      <c r="BD40">
        <f>IF((IsItype + IsUtype + IsStype + IsJtype)&gt;0,1,0)</f>
        <v>1</v>
      </c>
      <c r="BK40" s="166"/>
      <c r="BL40" s="161"/>
      <c r="BM40" s="164"/>
      <c r="BN40" s="151"/>
      <c r="BO40" s="151"/>
      <c r="BP40" s="151"/>
      <c r="BQ40" s="151"/>
      <c r="BR40" s="151"/>
      <c r="BS40" s="151"/>
      <c r="BT40" s="151"/>
      <c r="BU40" s="151"/>
      <c r="BV40" s="200"/>
      <c r="BW40" s="151"/>
      <c r="BX40" s="151"/>
      <c r="BY40" s="151"/>
      <c r="BZ40" s="151"/>
      <c r="CA40" s="151"/>
      <c r="CB40" s="151"/>
      <c r="CC40" s="212"/>
      <c r="CD40" s="151"/>
      <c r="CE40" s="151"/>
      <c r="CF40" s="151"/>
      <c r="CG40" s="151"/>
      <c r="CH40" s="180"/>
      <c r="CI40" s="211"/>
      <c r="CK40" s="173"/>
    </row>
    <row r="41" spans="2:91" x14ac:dyDescent="0.25">
      <c r="B41" s="3" t="s">
        <v>380</v>
      </c>
      <c r="J41" s="175"/>
      <c r="Y41" s="248"/>
      <c r="AA41" s="252"/>
      <c r="AF41" s="83"/>
      <c r="AI41" s="144"/>
      <c r="AJ41" s="144"/>
      <c r="AK41" s="144"/>
      <c r="AL41" s="144" t="s">
        <v>109</v>
      </c>
      <c r="AM41" s="150"/>
      <c r="AN41" s="485" t="str">
        <f>DEC2BIN(17,5)</f>
        <v>10001</v>
      </c>
      <c r="AO41" s="486"/>
      <c r="AP41" s="482" t="s">
        <v>351</v>
      </c>
      <c r="AQ41" s="483"/>
      <c r="AR41" s="483"/>
      <c r="AS41" s="484"/>
      <c r="AT41" s="153" t="str">
        <f t="shared" si="2"/>
        <v>======</v>
      </c>
      <c r="AV41" s="161"/>
      <c r="AX41" s="160"/>
      <c r="BC41" s="497"/>
      <c r="BK41" s="213"/>
      <c r="BL41" s="151" t="s">
        <v>328</v>
      </c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212"/>
      <c r="CD41" s="151"/>
      <c r="CE41" s="151"/>
      <c r="CF41" s="151"/>
      <c r="CG41" s="151"/>
      <c r="CH41" s="180"/>
      <c r="CI41" s="211"/>
      <c r="CJ41" s="172"/>
      <c r="CK41" s="173"/>
      <c r="CL41" s="172"/>
      <c r="CM41" s="172"/>
    </row>
    <row r="42" spans="2:91" ht="15.75" thickBot="1" x14ac:dyDescent="0.3">
      <c r="B42" s="3" t="s">
        <v>380</v>
      </c>
      <c r="J42" s="175"/>
      <c r="T42" s="249"/>
      <c r="U42" s="249" t="s">
        <v>324</v>
      </c>
      <c r="V42" s="249"/>
      <c r="W42" s="249"/>
      <c r="X42" s="249"/>
      <c r="Y42" s="250"/>
      <c r="Z42" s="1" t="s">
        <v>326</v>
      </c>
      <c r="AB42" s="253"/>
      <c r="AC42" s="249"/>
      <c r="AD42" s="249" t="s">
        <v>325</v>
      </c>
      <c r="AE42" s="249"/>
      <c r="AF42" s="83"/>
      <c r="AI42" s="144"/>
      <c r="AJ42" s="144"/>
      <c r="AK42" s="144"/>
      <c r="AL42" s="144" t="s">
        <v>113</v>
      </c>
      <c r="AM42" s="150"/>
      <c r="AN42" s="485" t="str">
        <f>DEC2BIN(18,5)</f>
        <v>10010</v>
      </c>
      <c r="AO42" s="486"/>
      <c r="AP42" s="482" t="s">
        <v>352</v>
      </c>
      <c r="AQ42" s="483"/>
      <c r="AR42" s="483"/>
      <c r="AS42" s="484"/>
      <c r="AT42" s="153" t="str">
        <f t="shared" si="2"/>
        <v>|</v>
      </c>
      <c r="AV42" s="161"/>
      <c r="AX42" s="160"/>
      <c r="BC42" s="497"/>
      <c r="BK42" s="213"/>
      <c r="BL42" s="161"/>
      <c r="BM42" s="164"/>
      <c r="BN42" s="164"/>
      <c r="BO42" s="221"/>
      <c r="BP42" s="222"/>
      <c r="BQ42" s="223" t="str">
        <f>$BI$35</f>
        <v>1B0</v>
      </c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 t="s">
        <v>316</v>
      </c>
      <c r="CC42" s="212"/>
      <c r="CD42" s="151"/>
      <c r="CE42" s="151"/>
      <c r="CF42" s="151"/>
      <c r="CG42" s="151"/>
      <c r="CH42" s="180"/>
      <c r="CI42" s="211"/>
      <c r="CK42" s="173"/>
    </row>
    <row r="43" spans="2:91" ht="15.75" customHeight="1" thickTop="1" x14ac:dyDescent="0.25">
      <c r="B43" s="3" t="s">
        <v>380</v>
      </c>
      <c r="J43" s="175"/>
      <c r="Y43" s="248"/>
      <c r="AB43" s="255"/>
      <c r="AF43" s="83"/>
      <c r="AI43" s="144"/>
      <c r="AJ43" s="144"/>
      <c r="AK43" s="144"/>
      <c r="AL43" s="144" t="s">
        <v>117</v>
      </c>
      <c r="AM43" s="150"/>
      <c r="AN43" s="485" t="str">
        <f>DEC2BIN(19,5)</f>
        <v>10011</v>
      </c>
      <c r="AO43" s="486"/>
      <c r="AP43" s="482" t="s">
        <v>353</v>
      </c>
      <c r="AQ43" s="483"/>
      <c r="AR43" s="483"/>
      <c r="AS43" s="484"/>
      <c r="AT43" s="153" t="str">
        <f t="shared" si="2"/>
        <v>|</v>
      </c>
      <c r="AV43" s="161"/>
      <c r="AX43" s="160"/>
      <c r="BC43" s="497"/>
      <c r="BK43" s="213"/>
      <c r="BL43" s="161"/>
      <c r="BM43" s="164"/>
      <c r="BN43" s="151"/>
      <c r="BO43" s="224" t="s">
        <v>144</v>
      </c>
      <c r="BP43" s="229"/>
      <c r="BQ43" s="225"/>
      <c r="BR43" s="494" t="str">
        <f>DEC2HEX(_xlfn.BITXOR(HEX2DEC(BQ42),HEX2DEC(BQ44)),8)</f>
        <v>000001F9</v>
      </c>
      <c r="BS43" s="495"/>
      <c r="BT43" s="236" t="s">
        <v>320</v>
      </c>
      <c r="BU43" s="151"/>
      <c r="BV43" s="151"/>
      <c r="BW43" s="151"/>
      <c r="BX43" s="151"/>
      <c r="BY43" s="151" t="str">
        <f>IF(CC29="100","==========","|")</f>
        <v>|</v>
      </c>
      <c r="BZ43" s="151"/>
      <c r="CA43" s="231"/>
      <c r="CB43" s="151"/>
      <c r="CC43" s="212"/>
      <c r="CD43" s="151"/>
      <c r="CE43" s="151"/>
      <c r="CF43" s="151"/>
      <c r="CG43" s="151"/>
      <c r="CH43" s="180"/>
      <c r="CI43" s="211"/>
      <c r="CK43" s="173"/>
    </row>
    <row r="44" spans="2:91" x14ac:dyDescent="0.25">
      <c r="B44" s="3" t="s">
        <v>380</v>
      </c>
      <c r="J44" s="175"/>
      <c r="Y44" s="248"/>
      <c r="AA44" s="255"/>
      <c r="AF44" s="83"/>
      <c r="AI44" s="144"/>
      <c r="AJ44" s="144"/>
      <c r="AK44" s="144"/>
      <c r="AL44" s="144" t="s">
        <v>124</v>
      </c>
      <c r="AM44" s="150"/>
      <c r="AN44" s="485" t="str">
        <f>DEC2BIN(20,5)</f>
        <v>10100</v>
      </c>
      <c r="AO44" s="486"/>
      <c r="AP44" s="482" t="s">
        <v>354</v>
      </c>
      <c r="AQ44" s="483"/>
      <c r="AR44" s="483"/>
      <c r="AS44" s="484"/>
      <c r="AT44" s="153" t="str">
        <f t="shared" si="2"/>
        <v>|</v>
      </c>
      <c r="AV44" s="161"/>
      <c r="AX44" s="160"/>
      <c r="BC44" s="497"/>
      <c r="BD44" s="314"/>
      <c r="BK44" s="213"/>
      <c r="BL44" s="161"/>
      <c r="BM44" s="161"/>
      <c r="BN44" s="161"/>
      <c r="BO44" s="226"/>
      <c r="BP44" s="227"/>
      <c r="BQ44" s="228">
        <f>$BF$38</f>
        <v>49</v>
      </c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212"/>
      <c r="CD44" s="151"/>
      <c r="CE44" s="151"/>
      <c r="CF44" s="151"/>
      <c r="CG44" s="151"/>
      <c r="CH44" s="180"/>
      <c r="CI44" s="211"/>
      <c r="CK44" s="173" t="s">
        <v>301</v>
      </c>
    </row>
    <row r="45" spans="2:91" x14ac:dyDescent="0.25">
      <c r="B45" s="3" t="s">
        <v>380</v>
      </c>
      <c r="J45" s="175"/>
      <c r="Y45" s="248"/>
      <c r="Z45" s="254"/>
      <c r="AF45" s="83"/>
      <c r="AI45" s="144"/>
      <c r="AJ45" s="144"/>
      <c r="AK45" s="144"/>
      <c r="AL45" s="144" t="s">
        <v>129</v>
      </c>
      <c r="AM45" s="150"/>
      <c r="AN45" s="485" t="str">
        <f>DEC2BIN(21,5)</f>
        <v>10101</v>
      </c>
      <c r="AO45" s="486"/>
      <c r="AP45" s="482" t="s">
        <v>355</v>
      </c>
      <c r="AQ45" s="483"/>
      <c r="AR45" s="483"/>
      <c r="AS45" s="484"/>
      <c r="AT45" s="153" t="str">
        <f t="shared" si="2"/>
        <v>|</v>
      </c>
      <c r="AV45" s="161"/>
      <c r="AX45" s="160"/>
      <c r="BD45" s="498">
        <f>AX59</f>
        <v>49</v>
      </c>
      <c r="BK45" s="213"/>
      <c r="BL45" s="151" t="s">
        <v>297</v>
      </c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212"/>
      <c r="CD45" s="151"/>
      <c r="CE45" s="151"/>
      <c r="CF45" s="151"/>
      <c r="CG45" s="151"/>
      <c r="CH45" s="180"/>
      <c r="CI45" s="211"/>
      <c r="CK45" s="173"/>
    </row>
    <row r="46" spans="2:91" x14ac:dyDescent="0.25">
      <c r="B46" s="3" t="s">
        <v>380</v>
      </c>
      <c r="J46" s="175"/>
      <c r="V46" t="s">
        <v>327</v>
      </c>
      <c r="AF46" s="83"/>
      <c r="AI46" s="144"/>
      <c r="AJ46" s="144"/>
      <c r="AK46" s="144"/>
      <c r="AL46" s="144" t="s">
        <v>133</v>
      </c>
      <c r="AM46" s="150"/>
      <c r="AN46" s="485" t="str">
        <f>DEC2BIN(22,5)</f>
        <v>10110</v>
      </c>
      <c r="AO46" s="486"/>
      <c r="AP46" s="482" t="s">
        <v>334</v>
      </c>
      <c r="AQ46" s="483"/>
      <c r="AR46" s="483"/>
      <c r="AS46" s="484"/>
      <c r="AT46" s="153" t="str">
        <f t="shared" si="2"/>
        <v>|</v>
      </c>
      <c r="AV46" s="161"/>
      <c r="AX46" s="160"/>
      <c r="BD46" s="498"/>
      <c r="BK46" s="213"/>
      <c r="BL46" s="161"/>
      <c r="BM46" s="164"/>
      <c r="BN46" s="151"/>
      <c r="BO46" s="151"/>
      <c r="BP46" s="151"/>
      <c r="BQ46" s="151"/>
      <c r="BR46" s="151"/>
      <c r="BS46" s="151"/>
      <c r="BT46" s="151"/>
      <c r="BU46" s="151" t="s">
        <v>312</v>
      </c>
      <c r="BV46" s="151"/>
      <c r="BW46" s="151"/>
      <c r="BX46" s="151"/>
      <c r="BY46" s="151"/>
      <c r="BZ46" s="151"/>
      <c r="CA46" s="151"/>
      <c r="CB46" s="151"/>
      <c r="CC46" s="212"/>
      <c r="CD46" s="151"/>
      <c r="CE46" s="151"/>
      <c r="CF46" s="231" t="s">
        <v>387</v>
      </c>
      <c r="CG46" s="151"/>
      <c r="CH46" s="180"/>
      <c r="CI46" s="211"/>
      <c r="CK46" s="180"/>
    </row>
    <row r="47" spans="2:91" x14ac:dyDescent="0.25">
      <c r="B47" s="3" t="s">
        <v>380</v>
      </c>
      <c r="J47" s="175"/>
      <c r="AF47" s="83"/>
      <c r="AI47" s="144"/>
      <c r="AJ47" s="144"/>
      <c r="AK47" s="144"/>
      <c r="AL47" s="144" t="s">
        <v>137</v>
      </c>
      <c r="AM47" s="150"/>
      <c r="AN47" s="485" t="str">
        <f>DEC2BIN(23,5)</f>
        <v>10111</v>
      </c>
      <c r="AO47" s="486"/>
      <c r="AP47" s="482" t="s">
        <v>356</v>
      </c>
      <c r="AQ47" s="483"/>
      <c r="AR47" s="483"/>
      <c r="AS47" s="484"/>
      <c r="AT47" s="153" t="str">
        <f t="shared" si="2"/>
        <v>|</v>
      </c>
      <c r="AV47" s="161"/>
      <c r="AX47" s="160"/>
      <c r="BD47" s="498"/>
      <c r="BK47" s="213"/>
      <c r="BL47" s="161"/>
      <c r="BM47" s="164"/>
      <c r="BN47" s="164"/>
      <c r="BO47" s="221"/>
      <c r="BP47" s="222"/>
      <c r="BQ47" s="223" t="str">
        <f>$BI$35</f>
        <v>1B0</v>
      </c>
      <c r="BR47" s="151"/>
      <c r="BS47" s="151"/>
      <c r="BT47" s="151"/>
      <c r="BU47" s="151" t="s">
        <v>313</v>
      </c>
      <c r="BV47" s="200"/>
      <c r="BW47" s="151"/>
      <c r="BX47" s="151"/>
      <c r="BY47" s="151"/>
      <c r="BZ47" s="151"/>
      <c r="CA47" s="151"/>
      <c r="CB47" s="151"/>
      <c r="CC47" s="294" t="str">
        <f>IF($CC$29="000",BV36,IF($CC$29="100",BR43,IF($CC$29="101",BV50,IF($CC$29="110",BR56,IF($CC$29="111",BR61,"other operator")))))</f>
        <v>00000000</v>
      </c>
      <c r="CD47" s="256"/>
      <c r="CE47" s="256"/>
      <c r="CF47" s="151">
        <f>IF(IsRtype,1,0)</f>
        <v>0</v>
      </c>
      <c r="CG47" s="151"/>
      <c r="CH47" s="180"/>
      <c r="CI47" s="259" t="str">
        <f>IF(IsRtype,CC47,IF(IsStype,BS31, IF(IsJtype,BS31, IF(IsItype,CH67,"???"))))</f>
        <v>000001F9</v>
      </c>
      <c r="CJ47" s="180"/>
      <c r="CK47" s="180"/>
    </row>
    <row r="48" spans="2:91" x14ac:dyDescent="0.25">
      <c r="B48" s="3" t="s">
        <v>380</v>
      </c>
      <c r="J48" s="176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206"/>
      <c r="AI48" s="144"/>
      <c r="AJ48" s="144"/>
      <c r="AK48" s="144"/>
      <c r="AL48" s="144" t="s">
        <v>143</v>
      </c>
      <c r="AM48" s="150"/>
      <c r="AN48" s="485" t="str">
        <f>DEC2BIN(24,5)</f>
        <v>11000</v>
      </c>
      <c r="AO48" s="486"/>
      <c r="AP48" s="482" t="s">
        <v>357</v>
      </c>
      <c r="AQ48" s="483"/>
      <c r="AR48" s="483"/>
      <c r="AS48" s="484"/>
      <c r="AT48" s="153" t="str">
        <f t="shared" si="2"/>
        <v>|</v>
      </c>
      <c r="AV48" s="161"/>
      <c r="AX48" s="160"/>
      <c r="BD48" s="498"/>
      <c r="BK48" s="213"/>
      <c r="BL48" s="161"/>
      <c r="BM48" s="164"/>
      <c r="BN48" s="151"/>
      <c r="BO48" s="224" t="s">
        <v>130</v>
      </c>
      <c r="BP48" s="229"/>
      <c r="BQ48" s="225"/>
      <c r="BR48" s="494" t="str" cm="1">
        <f t="array" ref="BR48">DEC2HEX(_xlfn.BITLSHIFT(HEX2DEC(BQ47),BIN2DEC(RIGHT(MyHex2Bin(BQ49,32),5))),8)</f>
        <v>00036000</v>
      </c>
      <c r="BS48" s="495"/>
      <c r="BT48" s="151" t="str">
        <f>IF($H$5=0,"======","|")</f>
        <v>|</v>
      </c>
      <c r="BU48" s="151"/>
      <c r="BV48" s="200"/>
      <c r="BW48" s="151"/>
      <c r="BX48" s="151"/>
      <c r="BY48" s="151"/>
      <c r="BZ48" s="151"/>
      <c r="CA48" s="231"/>
      <c r="CB48" s="151"/>
      <c r="CC48" s="212"/>
      <c r="CD48" s="151"/>
      <c r="CE48" s="151"/>
      <c r="CF48" s="151"/>
      <c r="CG48" s="151"/>
      <c r="CH48" s="180"/>
      <c r="CI48" s="211"/>
    </row>
    <row r="49" spans="1:87" x14ac:dyDescent="0.25">
      <c r="B49" s="3" t="s">
        <v>380</v>
      </c>
      <c r="AI49" s="144"/>
      <c r="AJ49" s="144"/>
      <c r="AK49" s="144"/>
      <c r="AL49" s="144" t="s">
        <v>150</v>
      </c>
      <c r="AM49" s="150"/>
      <c r="AN49" s="485" t="str">
        <f>DEC2BIN(25,5)</f>
        <v>11001</v>
      </c>
      <c r="AO49" s="486"/>
      <c r="AP49" s="482" t="s">
        <v>358</v>
      </c>
      <c r="AQ49" s="483"/>
      <c r="AR49" s="483"/>
      <c r="AS49" s="484"/>
      <c r="AT49" s="153" t="str">
        <f t="shared" si="2"/>
        <v>|</v>
      </c>
      <c r="AV49" s="161"/>
      <c r="AX49" s="160"/>
      <c r="BD49" s="498"/>
      <c r="BK49" s="213"/>
      <c r="BL49" s="161"/>
      <c r="BM49" s="161"/>
      <c r="BN49" s="161"/>
      <c r="BO49" s="226"/>
      <c r="BP49" s="227"/>
      <c r="BQ49" s="228">
        <f>$BF$38</f>
        <v>49</v>
      </c>
      <c r="BR49" s="151"/>
      <c r="BS49" s="151"/>
      <c r="BT49" s="151"/>
      <c r="BU49" s="151"/>
      <c r="BV49" s="200"/>
      <c r="BW49" s="151"/>
      <c r="BX49" s="151"/>
      <c r="BY49" s="151"/>
      <c r="BZ49" s="151"/>
      <c r="CA49" s="151"/>
      <c r="CB49" s="151" t="s">
        <v>318</v>
      </c>
      <c r="CC49" s="212"/>
      <c r="CD49" s="151"/>
      <c r="CE49" s="151"/>
      <c r="CF49" s="151"/>
      <c r="CG49" s="151"/>
      <c r="CH49" s="180"/>
      <c r="CI49" s="211"/>
    </row>
    <row r="50" spans="1:87" x14ac:dyDescent="0.25">
      <c r="B50" s="3" t="s">
        <v>380</v>
      </c>
      <c r="AI50" s="144"/>
      <c r="AJ50" s="144"/>
      <c r="AK50" s="144"/>
      <c r="AL50" s="144" t="s">
        <v>156</v>
      </c>
      <c r="AM50" s="150"/>
      <c r="AN50" s="485" t="str">
        <f>DEC2BIN(26,5)</f>
        <v>11010</v>
      </c>
      <c r="AO50" s="486"/>
      <c r="AP50" s="482" t="s">
        <v>359</v>
      </c>
      <c r="AQ50" s="483"/>
      <c r="AR50" s="483"/>
      <c r="AS50" s="484"/>
      <c r="AT50" s="153" t="str">
        <f t="shared" si="2"/>
        <v>|</v>
      </c>
      <c r="AV50" s="161"/>
      <c r="AX50" s="160"/>
      <c r="BD50" s="201"/>
      <c r="BK50" s="213"/>
      <c r="BL50" s="161"/>
      <c r="BM50" s="164"/>
      <c r="BN50" s="151"/>
      <c r="BO50" s="151"/>
      <c r="BP50" s="151"/>
      <c r="BQ50" s="151"/>
      <c r="BR50" s="151"/>
      <c r="BS50" s="151"/>
      <c r="BT50" s="151"/>
      <c r="BU50" s="151"/>
      <c r="BV50" s="317" t="str">
        <f>IF(BV29=0,BR48,BR52)</f>
        <v>00000000</v>
      </c>
      <c r="BW50" s="200"/>
      <c r="BX50" s="200"/>
      <c r="BY50" s="151" t="str">
        <f>IF(CC29="101","==========","|")</f>
        <v>==========</v>
      </c>
      <c r="BZ50" s="151"/>
      <c r="CA50" s="151"/>
      <c r="CB50" s="151"/>
      <c r="CC50" s="212"/>
      <c r="CD50" s="151"/>
      <c r="CE50" s="151"/>
      <c r="CF50" s="151"/>
      <c r="CG50" s="151"/>
      <c r="CH50" s="180"/>
      <c r="CI50" s="211"/>
    </row>
    <row r="51" spans="1:87" x14ac:dyDescent="0.25">
      <c r="B51" s="3" t="s">
        <v>380</v>
      </c>
      <c r="AI51" s="144"/>
      <c r="AJ51" s="144"/>
      <c r="AK51" s="144"/>
      <c r="AL51" s="144" t="s">
        <v>160</v>
      </c>
      <c r="AM51" s="150"/>
      <c r="AN51" s="485" t="str">
        <f>DEC2BIN(27,5)</f>
        <v>11011</v>
      </c>
      <c r="AO51" s="486"/>
      <c r="AP51" s="482" t="s">
        <v>360</v>
      </c>
      <c r="AQ51" s="483"/>
      <c r="AR51" s="483"/>
      <c r="AS51" s="484"/>
      <c r="AT51" s="153" t="str">
        <f t="shared" si="2"/>
        <v>|</v>
      </c>
      <c r="AV51" s="161"/>
      <c r="AX51" s="160"/>
      <c r="BD51" s="201"/>
      <c r="BK51" s="213"/>
      <c r="BL51" s="161"/>
      <c r="BM51" s="164"/>
      <c r="BN51" s="164"/>
      <c r="BO51" s="221"/>
      <c r="BP51" s="222"/>
      <c r="BQ51" s="223" t="str">
        <f>$BI$35</f>
        <v>1B0</v>
      </c>
      <c r="BR51" s="151"/>
      <c r="BS51" s="151"/>
      <c r="BT51" s="151"/>
      <c r="BU51" s="151" t="s">
        <v>314</v>
      </c>
      <c r="BV51" s="200"/>
      <c r="BW51" s="151"/>
      <c r="BX51" s="151"/>
      <c r="BY51" s="151"/>
      <c r="BZ51" s="151"/>
      <c r="CA51" s="151"/>
      <c r="CB51" s="151"/>
      <c r="CC51" s="212"/>
      <c r="CD51" s="151"/>
      <c r="CE51" s="151"/>
      <c r="CF51" s="151"/>
      <c r="CG51" s="151"/>
      <c r="CH51" s="180"/>
      <c r="CI51" s="211"/>
    </row>
    <row r="52" spans="1:87" x14ac:dyDescent="0.25">
      <c r="B52" s="3" t="s">
        <v>380</v>
      </c>
      <c r="AI52" s="144"/>
      <c r="AJ52" s="144"/>
      <c r="AK52" s="144"/>
      <c r="AL52" s="144" t="s">
        <v>164</v>
      </c>
      <c r="AM52" s="150"/>
      <c r="AN52" s="485" t="str">
        <f>DEC2BIN(28,5)</f>
        <v>11100</v>
      </c>
      <c r="AO52" s="486"/>
      <c r="AP52" s="482" t="s">
        <v>361</v>
      </c>
      <c r="AQ52" s="483"/>
      <c r="AR52" s="483"/>
      <c r="AS52" s="484"/>
      <c r="AT52" s="153" t="str">
        <f t="shared" si="2"/>
        <v>|</v>
      </c>
      <c r="AV52" s="161"/>
      <c r="AX52" s="160"/>
      <c r="BD52" s="201"/>
      <c r="BK52" s="213"/>
      <c r="BL52" s="161"/>
      <c r="BM52" s="164"/>
      <c r="BN52" s="151"/>
      <c r="BO52" s="224" t="s">
        <v>151</v>
      </c>
      <c r="BP52" s="229"/>
      <c r="BQ52" s="225"/>
      <c r="BR52" s="494" t="str" cm="1">
        <f t="array" ref="BR52">DEC2HEX(_xlfn.BITRSHIFT(HEX2DEC(BQ51),BIN2DEC(RIGHT(MyHex2Bin(BQ53,32),5))),8)</f>
        <v>00000000</v>
      </c>
      <c r="BS52" s="495"/>
      <c r="BT52" s="151" t="str">
        <f>IF($H$5=1,"======","|")</f>
        <v>|</v>
      </c>
      <c r="BU52" s="151"/>
      <c r="BV52" s="200"/>
      <c r="BW52" s="151"/>
      <c r="BX52" s="151"/>
      <c r="BY52" s="151"/>
      <c r="BZ52" s="151"/>
      <c r="CA52" s="231"/>
      <c r="CB52" s="151"/>
      <c r="CC52" s="212"/>
      <c r="CD52" s="151"/>
      <c r="CE52" s="151"/>
      <c r="CF52" s="151"/>
      <c r="CG52" s="151"/>
      <c r="CH52" s="180"/>
      <c r="CI52" s="211"/>
    </row>
    <row r="53" spans="1:87" x14ac:dyDescent="0.25">
      <c r="B53" s="3" t="s">
        <v>380</v>
      </c>
      <c r="AI53" s="144"/>
      <c r="AJ53" s="144"/>
      <c r="AK53" s="144"/>
      <c r="AL53" s="144" t="s">
        <v>168</v>
      </c>
      <c r="AM53" s="150"/>
      <c r="AN53" s="485" t="str">
        <f>DEC2BIN(29,5)</f>
        <v>11101</v>
      </c>
      <c r="AO53" s="486"/>
      <c r="AP53" s="482" t="s">
        <v>362</v>
      </c>
      <c r="AQ53" s="483"/>
      <c r="AR53" s="483"/>
      <c r="AS53" s="484"/>
      <c r="AT53" s="153" t="str">
        <f t="shared" si="2"/>
        <v>|</v>
      </c>
      <c r="AV53" s="161"/>
      <c r="AX53" s="160"/>
      <c r="BD53" s="201"/>
      <c r="BK53" s="213"/>
      <c r="BL53" s="161"/>
      <c r="BM53" s="161"/>
      <c r="BN53" s="161"/>
      <c r="BO53" s="226"/>
      <c r="BP53" s="227"/>
      <c r="BQ53" s="228">
        <f>$BF$38</f>
        <v>49</v>
      </c>
      <c r="BR53" s="151"/>
      <c r="BS53" s="151"/>
      <c r="BT53" s="151"/>
      <c r="BU53" s="151"/>
      <c r="BV53" s="200"/>
      <c r="BW53" s="151"/>
      <c r="BX53" s="151"/>
      <c r="BY53" s="151"/>
      <c r="BZ53" s="151"/>
      <c r="CA53" s="151"/>
      <c r="CB53" s="151"/>
      <c r="CC53" s="212"/>
      <c r="CD53" s="151"/>
      <c r="CE53" s="151"/>
      <c r="CF53" s="151"/>
      <c r="CG53" s="151"/>
      <c r="CH53" s="180"/>
      <c r="CI53" s="211"/>
    </row>
    <row r="54" spans="1:87" x14ac:dyDescent="0.25">
      <c r="B54" s="3" t="s">
        <v>380</v>
      </c>
      <c r="AI54" s="144"/>
      <c r="AJ54" s="144"/>
      <c r="AK54" s="144"/>
      <c r="AL54" s="144" t="s">
        <v>173</v>
      </c>
      <c r="AM54" s="150"/>
      <c r="AN54" s="485" t="str">
        <f>DEC2BIN(30,5)</f>
        <v>11110</v>
      </c>
      <c r="AO54" s="486"/>
      <c r="AP54" s="482" t="s">
        <v>363</v>
      </c>
      <c r="AQ54" s="483"/>
      <c r="AR54" s="483"/>
      <c r="AS54" s="484"/>
      <c r="AT54" s="153" t="str">
        <f t="shared" si="2"/>
        <v>|</v>
      </c>
      <c r="AV54" s="161"/>
      <c r="AX54" s="160"/>
      <c r="BD54" s="201"/>
      <c r="BK54" s="213"/>
      <c r="BL54" s="161"/>
      <c r="BM54" s="164"/>
      <c r="BN54" s="151"/>
      <c r="BO54" s="151"/>
      <c r="BP54" s="151"/>
      <c r="BQ54" s="151"/>
      <c r="BR54" s="151"/>
      <c r="BS54" s="151"/>
      <c r="BT54" s="151"/>
      <c r="BU54" s="151"/>
      <c r="BV54" s="200"/>
      <c r="BW54" s="151"/>
      <c r="BX54" s="151"/>
      <c r="BY54" s="151"/>
      <c r="BZ54" s="151"/>
      <c r="CA54" s="151"/>
      <c r="CB54" s="151"/>
      <c r="CC54" s="212"/>
      <c r="CD54" s="151"/>
      <c r="CE54" s="151"/>
      <c r="CF54" s="151"/>
      <c r="CG54" s="151"/>
      <c r="CH54" s="180"/>
      <c r="CI54" s="211"/>
    </row>
    <row r="55" spans="1:87" x14ac:dyDescent="0.25">
      <c r="B55" s="3" t="s">
        <v>380</v>
      </c>
      <c r="AI55" s="144"/>
      <c r="AJ55" s="144"/>
      <c r="AK55" s="144"/>
      <c r="AL55" s="144" t="s">
        <v>179</v>
      </c>
      <c r="AM55" s="150"/>
      <c r="AN55" s="485" t="str">
        <f>DEC2BIN(31,5)</f>
        <v>11111</v>
      </c>
      <c r="AO55" s="486"/>
      <c r="AP55" s="482" t="s">
        <v>364</v>
      </c>
      <c r="AQ55" s="483"/>
      <c r="AR55" s="483"/>
      <c r="AS55" s="484"/>
      <c r="AT55" s="153" t="str">
        <f t="shared" si="2"/>
        <v>|</v>
      </c>
      <c r="AV55" s="161"/>
      <c r="AX55" s="160"/>
      <c r="BD55" s="201"/>
      <c r="BK55" s="213"/>
      <c r="BL55" s="161"/>
      <c r="BM55" s="164"/>
      <c r="BN55" s="164"/>
      <c r="BO55" s="221"/>
      <c r="BP55" s="222"/>
      <c r="BQ55" s="223" t="str">
        <f>$BI$35</f>
        <v>1B0</v>
      </c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 t="s">
        <v>319</v>
      </c>
      <c r="CC55" s="212"/>
      <c r="CD55" s="151"/>
      <c r="CE55" s="151"/>
      <c r="CF55" s="151"/>
      <c r="CG55" s="151"/>
      <c r="CH55" s="180"/>
      <c r="CI55" s="211"/>
    </row>
    <row r="56" spans="1:87" ht="15.75" thickBot="1" x14ac:dyDescent="0.3">
      <c r="B56" s="3" t="s">
        <v>380</v>
      </c>
      <c r="BD56" s="201"/>
      <c r="BK56" s="213"/>
      <c r="BL56" s="161"/>
      <c r="BM56" s="164"/>
      <c r="BN56" s="151"/>
      <c r="BO56" s="224" t="s">
        <v>161</v>
      </c>
      <c r="BP56" s="229"/>
      <c r="BQ56" s="225"/>
      <c r="BR56" s="494" t="str">
        <f>DEC2HEX(_xlfn.BITOR(HEX2DEC(BQ55),HEX2DEC(BQ57)),8)</f>
        <v>000001F9</v>
      </c>
      <c r="BS56" s="495"/>
      <c r="BT56" s="236" t="s">
        <v>320</v>
      </c>
      <c r="BU56" s="151"/>
      <c r="BV56" s="151"/>
      <c r="BW56" s="151"/>
      <c r="BX56" s="151"/>
      <c r="BY56" s="151" t="str">
        <f>IF(CC29="110","==========","|")</f>
        <v>|</v>
      </c>
      <c r="BZ56" s="151"/>
      <c r="CA56" s="231"/>
      <c r="CB56" s="151"/>
      <c r="CC56" s="212"/>
      <c r="CD56" s="151"/>
      <c r="CE56" s="151"/>
      <c r="CF56" s="151"/>
      <c r="CG56" s="151"/>
      <c r="CH56" s="180"/>
      <c r="CI56" s="211"/>
    </row>
    <row r="57" spans="1:87" x14ac:dyDescent="0.25">
      <c r="A57" s="263" t="s">
        <v>373</v>
      </c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264"/>
      <c r="T57" s="264"/>
      <c r="U57" s="264"/>
      <c r="V57" s="264"/>
      <c r="W57" s="264"/>
      <c r="X57" s="264"/>
      <c r="Y57" s="264"/>
      <c r="Z57" s="264"/>
      <c r="AA57" s="264"/>
      <c r="AB57" s="264"/>
      <c r="AC57" s="274"/>
      <c r="AD57" s="275" t="s">
        <v>105</v>
      </c>
      <c r="AE57" s="275" t="s">
        <v>375</v>
      </c>
      <c r="AF57" s="274"/>
      <c r="AG57" s="276"/>
      <c r="BD57" s="201"/>
      <c r="BK57" s="213"/>
      <c r="BL57" s="161"/>
      <c r="BM57" s="161"/>
      <c r="BN57" s="161"/>
      <c r="BO57" s="226"/>
      <c r="BP57" s="227"/>
      <c r="BQ57" s="228">
        <f>$BF$38</f>
        <v>49</v>
      </c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212"/>
      <c r="CD57" s="151"/>
      <c r="CE57" s="151"/>
      <c r="CF57" s="151"/>
      <c r="CG57" s="151"/>
      <c r="CH57" s="180"/>
      <c r="CI57" s="211"/>
    </row>
    <row r="58" spans="1:87" x14ac:dyDescent="0.25">
      <c r="A58" s="265"/>
      <c r="AG58" s="266"/>
      <c r="AP58" s="201"/>
      <c r="BD58" s="201"/>
      <c r="BK58" s="213"/>
      <c r="BL58" s="161"/>
      <c r="BM58" s="164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212"/>
      <c r="CD58" s="151"/>
      <c r="CE58" s="151"/>
      <c r="CF58" s="151"/>
      <c r="CG58" s="151"/>
      <c r="CH58" s="180"/>
      <c r="CI58" s="211"/>
    </row>
    <row r="59" spans="1:87" ht="15.75" thickBot="1" x14ac:dyDescent="0.3">
      <c r="A59" s="269">
        <v>31</v>
      </c>
      <c r="B59" s="270">
        <v>30</v>
      </c>
      <c r="C59" s="270">
        <v>29</v>
      </c>
      <c r="D59" s="270">
        <v>28</v>
      </c>
      <c r="E59" s="270">
        <v>27</v>
      </c>
      <c r="F59" s="270">
        <v>26</v>
      </c>
      <c r="G59" s="270">
        <v>25</v>
      </c>
      <c r="H59" s="270">
        <v>24</v>
      </c>
      <c r="I59" s="270">
        <v>23</v>
      </c>
      <c r="J59" s="270">
        <v>22</v>
      </c>
      <c r="K59" s="270">
        <v>21</v>
      </c>
      <c r="L59" s="270">
        <v>20</v>
      </c>
      <c r="M59" s="270">
        <v>19</v>
      </c>
      <c r="N59" s="270">
        <v>18</v>
      </c>
      <c r="O59" s="270">
        <v>17</v>
      </c>
      <c r="P59" s="270">
        <v>16</v>
      </c>
      <c r="Q59" s="270">
        <v>15</v>
      </c>
      <c r="R59" s="270">
        <v>14</v>
      </c>
      <c r="S59" s="270">
        <v>13</v>
      </c>
      <c r="T59" s="270">
        <v>12</v>
      </c>
      <c r="U59" s="270">
        <v>11</v>
      </c>
      <c r="V59" s="270">
        <v>10</v>
      </c>
      <c r="W59" s="270">
        <v>9</v>
      </c>
      <c r="X59" s="270">
        <v>8</v>
      </c>
      <c r="Y59" s="270">
        <v>7</v>
      </c>
      <c r="Z59" s="270">
        <v>6</v>
      </c>
      <c r="AA59" s="270">
        <v>5</v>
      </c>
      <c r="AB59" s="270">
        <v>4</v>
      </c>
      <c r="AC59" s="270">
        <v>3</v>
      </c>
      <c r="AD59" s="270">
        <v>2</v>
      </c>
      <c r="AE59" s="270">
        <v>1</v>
      </c>
      <c r="AF59" s="270">
        <v>0</v>
      </c>
      <c r="AG59" s="266"/>
      <c r="AP59" s="201"/>
      <c r="AQ59" s="201"/>
      <c r="AR59" s="201" t="s">
        <v>331</v>
      </c>
      <c r="AS59" s="201"/>
      <c r="AT59" s="201"/>
      <c r="AU59" s="201"/>
      <c r="AV59" s="201"/>
      <c r="AW59" s="201"/>
      <c r="AX59" s="496">
        <f>IF(IsItype=1,AH84,IF(IsStype=1,AH61,IF(IsUtype=1,AH92,IF(IsBtype,AH68,IF(IsJtype,AH76,"???")))))</f>
        <v>49</v>
      </c>
      <c r="AY59" s="496"/>
      <c r="AZ59" s="496"/>
      <c r="BA59" s="496"/>
      <c r="BB59" s="496"/>
      <c r="BC59" s="201"/>
      <c r="BD59" s="201"/>
      <c r="BK59" s="213"/>
      <c r="BL59" s="161"/>
      <c r="BM59" s="164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212"/>
      <c r="CD59" s="151"/>
      <c r="CE59" s="151"/>
      <c r="CF59" s="151"/>
      <c r="CG59" s="151"/>
      <c r="CH59" s="180"/>
      <c r="CI59" s="211"/>
    </row>
    <row r="60" spans="1:87" ht="15.75" thickBot="1" x14ac:dyDescent="0.3">
      <c r="A60" s="277" t="str">
        <f t="shared" ref="A60:S60" si="3">$U$60</f>
        <v>0</v>
      </c>
      <c r="B60" s="3" t="str">
        <f t="shared" si="3"/>
        <v>0</v>
      </c>
      <c r="C60" s="3" t="str">
        <f t="shared" si="3"/>
        <v>0</v>
      </c>
      <c r="D60" s="3" t="str">
        <f t="shared" si="3"/>
        <v>0</v>
      </c>
      <c r="E60" s="3" t="str">
        <f t="shared" si="3"/>
        <v>0</v>
      </c>
      <c r="F60" s="3" t="str">
        <f t="shared" si="3"/>
        <v>0</v>
      </c>
      <c r="G60" s="3" t="str">
        <f t="shared" si="3"/>
        <v>0</v>
      </c>
      <c r="H60" s="3" t="str">
        <f t="shared" si="3"/>
        <v>0</v>
      </c>
      <c r="I60" s="3" t="str">
        <f t="shared" si="3"/>
        <v>0</v>
      </c>
      <c r="J60" s="3" t="str">
        <f t="shared" si="3"/>
        <v>0</v>
      </c>
      <c r="K60" s="3" t="str">
        <f t="shared" si="3"/>
        <v>0</v>
      </c>
      <c r="L60" s="3" t="str">
        <f t="shared" si="3"/>
        <v>0</v>
      </c>
      <c r="M60" s="3" t="str">
        <f t="shared" si="3"/>
        <v>0</v>
      </c>
      <c r="N60" s="3" t="str">
        <f t="shared" si="3"/>
        <v>0</v>
      </c>
      <c r="O60" s="3" t="str">
        <f t="shared" si="3"/>
        <v>0</v>
      </c>
      <c r="P60" s="3" t="str">
        <f t="shared" si="3"/>
        <v>0</v>
      </c>
      <c r="Q60" s="3" t="str">
        <f t="shared" si="3"/>
        <v>0</v>
      </c>
      <c r="R60" s="3" t="str">
        <f t="shared" si="3"/>
        <v>0</v>
      </c>
      <c r="S60" s="3" t="str">
        <f t="shared" si="3"/>
        <v>0</v>
      </c>
      <c r="T60" s="3" t="str">
        <f>$U$60</f>
        <v>0</v>
      </c>
      <c r="U60" s="278" t="str" cm="1">
        <f t="array" ref="U60:AA60">G5:M5</f>
        <v>0</v>
      </c>
      <c r="V60" s="279" t="str">
        <v>0</v>
      </c>
      <c r="W60" s="279" t="str">
        <v>0</v>
      </c>
      <c r="X60" s="279" t="str">
        <v>0</v>
      </c>
      <c r="Y60" s="279" t="str">
        <v>0</v>
      </c>
      <c r="Z60" s="279" t="str">
        <v>0</v>
      </c>
      <c r="AA60" s="280" t="str">
        <v>1</v>
      </c>
      <c r="AB60" s="194" t="str" cm="1">
        <f t="array" ref="AB60:AF60">AA5:AE5</f>
        <v>0</v>
      </c>
      <c r="AC60" s="196" t="str">
        <v>1</v>
      </c>
      <c r="AD60" s="196" t="str">
        <v>0</v>
      </c>
      <c r="AE60" s="196" t="str">
        <v>1</v>
      </c>
      <c r="AF60" s="195" t="str">
        <v>0</v>
      </c>
      <c r="AG60" s="266"/>
      <c r="AN60" t="s">
        <v>21</v>
      </c>
      <c r="AP60" s="201"/>
      <c r="BK60" s="213"/>
      <c r="BL60" s="161"/>
      <c r="BM60" s="164"/>
      <c r="BN60" s="164"/>
      <c r="BO60" s="221"/>
      <c r="BP60" s="222"/>
      <c r="BQ60" s="223" t="str">
        <f>$BI$35</f>
        <v>1B0</v>
      </c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 t="s">
        <v>317</v>
      </c>
      <c r="CC60" s="212"/>
      <c r="CD60" s="151"/>
      <c r="CE60" s="151"/>
      <c r="CF60" s="151"/>
      <c r="CG60" s="151"/>
      <c r="CH60" s="180"/>
      <c r="CI60" s="211"/>
    </row>
    <row r="61" spans="1:87" x14ac:dyDescent="0.25">
      <c r="A61" s="265"/>
      <c r="Q61" s="271"/>
      <c r="R61" s="272"/>
      <c r="S61" s="272"/>
      <c r="T61" s="273" t="s">
        <v>372</v>
      </c>
      <c r="U61" s="270">
        <v>31</v>
      </c>
      <c r="V61" s="270">
        <v>30</v>
      </c>
      <c r="W61" s="270">
        <v>29</v>
      </c>
      <c r="X61" s="270">
        <v>28</v>
      </c>
      <c r="Y61" s="270">
        <v>27</v>
      </c>
      <c r="Z61" s="270">
        <v>26</v>
      </c>
      <c r="AA61" s="270">
        <v>25</v>
      </c>
      <c r="AB61" s="270">
        <v>11</v>
      </c>
      <c r="AC61" s="270">
        <v>10</v>
      </c>
      <c r="AD61" s="270">
        <v>9</v>
      </c>
      <c r="AE61" s="270">
        <v>8</v>
      </c>
      <c r="AF61" s="270">
        <v>7</v>
      </c>
      <c r="AG61" s="266" t="s">
        <v>374</v>
      </c>
      <c r="AH61" s="480" cm="1">
        <f t="array" ref="AH61">MyBin2Dec(A60:AF60)</f>
        <v>42</v>
      </c>
      <c r="AI61" s="481"/>
      <c r="AJ61" s="481"/>
      <c r="AK61" s="481"/>
      <c r="AP61" s="201"/>
      <c r="BK61" s="213"/>
      <c r="BL61" s="161"/>
      <c r="BM61" s="164"/>
      <c r="BN61" s="151"/>
      <c r="BO61" s="224" t="s">
        <v>165</v>
      </c>
      <c r="BP61" s="229"/>
      <c r="BQ61" s="225"/>
      <c r="BR61" s="494" t="str">
        <f>DEC2HEX(_xlfn.BITAND(HEX2DEC(BQ60),HEX2DEC(BQ62)),8)</f>
        <v>00000000</v>
      </c>
      <c r="BS61" s="495"/>
      <c r="BT61" s="236" t="s">
        <v>320</v>
      </c>
      <c r="BU61" s="151"/>
      <c r="BV61" s="151"/>
      <c r="BW61" s="151"/>
      <c r="BX61" s="151"/>
      <c r="BY61" s="151" t="str">
        <f>IF(CC29="111","==========","|")</f>
        <v>|</v>
      </c>
      <c r="BZ61" s="151"/>
      <c r="CA61" s="231"/>
      <c r="CB61" s="151"/>
      <c r="CC61" s="212"/>
      <c r="CD61" s="151"/>
      <c r="CE61" s="151"/>
      <c r="CF61" s="151"/>
      <c r="CG61" s="151"/>
      <c r="CH61" s="180"/>
      <c r="CI61" s="211"/>
    </row>
    <row r="62" spans="1:87" ht="15.75" thickBot="1" x14ac:dyDescent="0.3">
      <c r="A62" s="267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268"/>
      <c r="AP62" s="201"/>
      <c r="BK62" s="213"/>
      <c r="BL62" s="161"/>
      <c r="BM62" s="161"/>
      <c r="BN62" s="161"/>
      <c r="BO62" s="226"/>
      <c r="BP62" s="227"/>
      <c r="BQ62" s="228">
        <f>$BF$38</f>
        <v>49</v>
      </c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212"/>
      <c r="CD62" s="151"/>
      <c r="CE62" s="151"/>
      <c r="CF62" s="151"/>
      <c r="CG62" s="151"/>
      <c r="CH62" s="180"/>
      <c r="CI62" s="211"/>
    </row>
    <row r="63" spans="1:87" x14ac:dyDescent="0.25">
      <c r="AP63" s="201"/>
      <c r="BK63" s="213"/>
      <c r="BL63" s="161"/>
      <c r="BM63" s="164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212"/>
      <c r="CD63" s="151"/>
      <c r="CE63" s="151"/>
      <c r="CF63" s="151"/>
      <c r="CG63" s="151"/>
      <c r="CH63" s="180"/>
      <c r="CI63" s="211"/>
    </row>
    <row r="64" spans="1:87" ht="15.75" thickBot="1" x14ac:dyDescent="0.3">
      <c r="AP64" s="201"/>
      <c r="BK64" s="237"/>
      <c r="BL64" s="161"/>
      <c r="BM64" s="164"/>
      <c r="BN64" s="238"/>
      <c r="BO64" s="238"/>
      <c r="BP64" s="238"/>
      <c r="BQ64" s="238"/>
      <c r="BR64" s="238"/>
      <c r="BS64" s="238"/>
      <c r="BT64" s="238"/>
      <c r="BU64" s="238"/>
      <c r="BV64" s="238"/>
      <c r="BW64" s="238"/>
      <c r="BX64" s="238"/>
      <c r="BY64" s="238"/>
      <c r="BZ64" s="238"/>
      <c r="CA64" s="238"/>
      <c r="CB64" s="238"/>
      <c r="CC64" s="238"/>
      <c r="CD64" s="238"/>
      <c r="CE64" s="238"/>
      <c r="CF64" s="238"/>
      <c r="CG64" s="238"/>
      <c r="CH64" s="180"/>
      <c r="CI64" s="239"/>
    </row>
    <row r="65" spans="1:87" x14ac:dyDescent="0.25">
      <c r="A65" s="263" t="s">
        <v>373</v>
      </c>
      <c r="B65" s="264"/>
      <c r="C65" s="264"/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4"/>
      <c r="O65" s="264"/>
      <c r="P65" s="264"/>
      <c r="Q65" s="264"/>
      <c r="R65" s="264"/>
      <c r="S65" s="264"/>
      <c r="T65" s="264"/>
      <c r="U65" s="264"/>
      <c r="V65" s="264"/>
      <c r="W65" s="264"/>
      <c r="X65" s="264"/>
      <c r="Y65" s="264"/>
      <c r="Z65" s="264"/>
      <c r="AA65" s="264"/>
      <c r="AB65" s="264"/>
      <c r="AC65" s="274"/>
      <c r="AD65" s="275" t="s">
        <v>175</v>
      </c>
      <c r="AE65" s="275" t="s">
        <v>375</v>
      </c>
      <c r="AF65" s="274"/>
      <c r="AG65" s="276"/>
      <c r="AP65" s="201"/>
      <c r="BK65" s="213"/>
      <c r="BL65" s="161"/>
      <c r="BM65" s="164"/>
      <c r="BN65" s="151"/>
      <c r="BO65" s="23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80"/>
      <c r="CI65" s="211"/>
    </row>
    <row r="66" spans="1:87" x14ac:dyDescent="0.25">
      <c r="A66" s="265"/>
      <c r="AG66" s="266"/>
      <c r="AP66" s="201"/>
      <c r="BK66" s="213"/>
      <c r="BL66" s="161"/>
      <c r="BM66" s="164"/>
      <c r="BN66" s="164"/>
      <c r="BO66" s="221"/>
      <c r="BP66" s="222"/>
      <c r="BQ66" s="223" t="str">
        <f>$BI$35</f>
        <v>1B0</v>
      </c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2" t="s">
        <v>385</v>
      </c>
      <c r="CH66" s="180"/>
      <c r="CI66" s="211"/>
    </row>
    <row r="67" spans="1:87" ht="15.75" thickBot="1" x14ac:dyDescent="0.3">
      <c r="A67" s="269">
        <v>31</v>
      </c>
      <c r="B67" s="270">
        <v>30</v>
      </c>
      <c r="C67" s="270">
        <v>29</v>
      </c>
      <c r="D67" s="270">
        <v>28</v>
      </c>
      <c r="E67" s="270">
        <v>27</v>
      </c>
      <c r="F67" s="270">
        <v>26</v>
      </c>
      <c r="G67" s="270">
        <v>25</v>
      </c>
      <c r="H67" s="270">
        <v>24</v>
      </c>
      <c r="I67" s="270">
        <v>23</v>
      </c>
      <c r="J67" s="270">
        <v>22</v>
      </c>
      <c r="K67" s="270">
        <v>21</v>
      </c>
      <c r="L67" s="270">
        <v>20</v>
      </c>
      <c r="M67" s="270">
        <v>19</v>
      </c>
      <c r="N67" s="270">
        <v>18</v>
      </c>
      <c r="O67" s="270">
        <v>17</v>
      </c>
      <c r="P67" s="270">
        <v>16</v>
      </c>
      <c r="Q67" s="270">
        <v>15</v>
      </c>
      <c r="R67" s="270">
        <v>14</v>
      </c>
      <c r="S67" s="270">
        <v>13</v>
      </c>
      <c r="T67" s="270">
        <v>12</v>
      </c>
      <c r="U67" s="270">
        <v>11</v>
      </c>
      <c r="V67" s="270">
        <v>10</v>
      </c>
      <c r="W67" s="270">
        <v>9</v>
      </c>
      <c r="X67" s="270">
        <v>8</v>
      </c>
      <c r="Y67" s="270">
        <v>7</v>
      </c>
      <c r="Z67" s="270">
        <v>6</v>
      </c>
      <c r="AA67" s="270">
        <v>5</v>
      </c>
      <c r="AB67" s="270">
        <v>4</v>
      </c>
      <c r="AC67" s="270">
        <v>3</v>
      </c>
      <c r="AD67" s="270">
        <v>2</v>
      </c>
      <c r="AE67" s="270">
        <v>1</v>
      </c>
      <c r="AF67" s="270">
        <v>0</v>
      </c>
      <c r="AG67" s="266"/>
      <c r="AN67" t="s">
        <v>376</v>
      </c>
      <c r="AP67" s="201"/>
      <c r="BK67" s="213"/>
      <c r="BL67" s="161"/>
      <c r="BM67" s="164"/>
      <c r="BN67" s="151"/>
      <c r="BO67" s="224" t="s">
        <v>118</v>
      </c>
      <c r="BP67" s="229"/>
      <c r="BQ67" s="225"/>
      <c r="BR67" s="494" t="str">
        <f>DEC2HEX(HEX2DEC(BQ66)+HEX2DEC(BQ68),8)</f>
        <v>000001F9</v>
      </c>
      <c r="BS67" s="495"/>
      <c r="BT67" s="238">
        <f>IsLoadIns</f>
        <v>1</v>
      </c>
      <c r="BU67" s="238"/>
      <c r="BV67" s="238"/>
      <c r="BW67" s="238"/>
      <c r="BX67" s="238"/>
      <c r="BY67" s="238"/>
      <c r="BZ67" s="238"/>
      <c r="CA67" s="238"/>
      <c r="CB67" s="238"/>
      <c r="CC67" s="238"/>
      <c r="CD67" s="238"/>
      <c r="CE67" s="238"/>
      <c r="CF67" s="238"/>
      <c r="CG67" s="238"/>
      <c r="CH67" s="332" t="str">
        <f>IF(IsLoadIns,BR67,"?????")</f>
        <v>000001F9</v>
      </c>
      <c r="CI67" s="211"/>
    </row>
    <row r="68" spans="1:87" ht="15.75" thickBot="1" x14ac:dyDescent="0.3">
      <c r="A68" s="3" t="str">
        <f t="shared" ref="A68:R68" si="4">$T$68</f>
        <v>0</v>
      </c>
      <c r="B68" s="3" t="str">
        <f t="shared" si="4"/>
        <v>0</v>
      </c>
      <c r="C68" s="3" t="str">
        <f t="shared" si="4"/>
        <v>0</v>
      </c>
      <c r="D68" s="3" t="str">
        <f t="shared" si="4"/>
        <v>0</v>
      </c>
      <c r="E68" s="3" t="str">
        <f t="shared" si="4"/>
        <v>0</v>
      </c>
      <c r="F68" s="3" t="str">
        <f t="shared" si="4"/>
        <v>0</v>
      </c>
      <c r="G68" s="3" t="str">
        <f t="shared" si="4"/>
        <v>0</v>
      </c>
      <c r="H68" s="3" t="str">
        <f t="shared" si="4"/>
        <v>0</v>
      </c>
      <c r="I68" s="3" t="str">
        <f t="shared" si="4"/>
        <v>0</v>
      </c>
      <c r="J68" s="3" t="str">
        <f t="shared" si="4"/>
        <v>0</v>
      </c>
      <c r="K68" s="3" t="str">
        <f t="shared" si="4"/>
        <v>0</v>
      </c>
      <c r="L68" s="3" t="str">
        <f t="shared" si="4"/>
        <v>0</v>
      </c>
      <c r="M68" s="3" t="str">
        <f t="shared" si="4"/>
        <v>0</v>
      </c>
      <c r="N68" s="3" t="str">
        <f t="shared" si="4"/>
        <v>0</v>
      </c>
      <c r="O68" s="3" t="str">
        <f t="shared" si="4"/>
        <v>0</v>
      </c>
      <c r="P68" s="3" t="str">
        <f t="shared" si="4"/>
        <v>0</v>
      </c>
      <c r="Q68" s="3" t="str">
        <f t="shared" si="4"/>
        <v>0</v>
      </c>
      <c r="R68" s="3" t="str">
        <f t="shared" si="4"/>
        <v>0</v>
      </c>
      <c r="S68" s="3" t="str">
        <f>$T$68</f>
        <v>0</v>
      </c>
      <c r="T68" s="282" t="str">
        <f>G5</f>
        <v>0</v>
      </c>
      <c r="U68" s="281" t="str">
        <f>AE5</f>
        <v>0</v>
      </c>
      <c r="V68" s="11" t="str" cm="1">
        <f t="array" ref="V68:AA68">H5:M5</f>
        <v>0</v>
      </c>
      <c r="W68" s="11" t="str">
        <v>0</v>
      </c>
      <c r="X68" s="11" t="str">
        <v>0</v>
      </c>
      <c r="Y68" s="11" t="str">
        <v>0</v>
      </c>
      <c r="Z68" s="11" t="str">
        <v>0</v>
      </c>
      <c r="AA68" s="11" t="str">
        <v>1</v>
      </c>
      <c r="AB68" s="262" t="str" cm="1">
        <f t="array" ref="AB68:AE68">AA5:AD5</f>
        <v>0</v>
      </c>
      <c r="AC68" s="209" t="str">
        <v>1</v>
      </c>
      <c r="AD68" s="209" t="str">
        <v>0</v>
      </c>
      <c r="AE68" s="210" t="str">
        <v>1</v>
      </c>
      <c r="AF68" s="73">
        <v>0</v>
      </c>
      <c r="AG68" s="266"/>
      <c r="AH68" s="480" cm="1">
        <f t="array" ref="AH68">MyBin2Dec(A68:AF68)</f>
        <v>42</v>
      </c>
      <c r="AI68" s="481"/>
      <c r="AJ68" s="481"/>
      <c r="AK68" s="481"/>
      <c r="AP68" s="201"/>
      <c r="BK68" s="213"/>
      <c r="BL68" s="161"/>
      <c r="BM68" s="161"/>
      <c r="BN68" s="161"/>
      <c r="BO68" s="226"/>
      <c r="BP68" s="227"/>
      <c r="BQ68" s="228">
        <f>$BF$38</f>
        <v>49</v>
      </c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80"/>
      <c r="CI68" s="211"/>
    </row>
    <row r="69" spans="1:87" x14ac:dyDescent="0.25">
      <c r="A69" s="265"/>
      <c r="Q69" s="271"/>
      <c r="R69" s="272"/>
      <c r="S69" s="273" t="s">
        <v>372</v>
      </c>
      <c r="T69" s="270">
        <v>31</v>
      </c>
      <c r="U69" s="270">
        <v>7</v>
      </c>
      <c r="V69" s="270">
        <v>30</v>
      </c>
      <c r="W69" s="270">
        <v>29</v>
      </c>
      <c r="X69" s="270">
        <v>28</v>
      </c>
      <c r="Y69" s="270">
        <v>27</v>
      </c>
      <c r="Z69" s="270">
        <v>26</v>
      </c>
      <c r="AA69" s="270">
        <v>25</v>
      </c>
      <c r="AB69" s="270">
        <v>11</v>
      </c>
      <c r="AC69" s="270">
        <v>10</v>
      </c>
      <c r="AD69" s="270">
        <v>9</v>
      </c>
      <c r="AE69" s="270">
        <v>8</v>
      </c>
      <c r="AG69" s="266" t="s">
        <v>374</v>
      </c>
      <c r="AP69" s="201"/>
      <c r="BK69" s="213"/>
      <c r="BL69" s="161"/>
      <c r="BM69" s="164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80"/>
      <c r="CI69" s="211"/>
    </row>
    <row r="70" spans="1:87" ht="15.75" thickBot="1" x14ac:dyDescent="0.3">
      <c r="A70" s="267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268"/>
      <c r="AP70" s="201"/>
    </row>
    <row r="71" spans="1:87" x14ac:dyDescent="0.25">
      <c r="AP71" s="201"/>
    </row>
    <row r="72" spans="1:87" ht="15.75" thickBot="1" x14ac:dyDescent="0.3">
      <c r="AP72" s="201"/>
    </row>
    <row r="73" spans="1:87" x14ac:dyDescent="0.25">
      <c r="A73" s="263" t="s">
        <v>373</v>
      </c>
      <c r="B73" s="264"/>
      <c r="C73" s="264"/>
      <c r="D73" s="264"/>
      <c r="E73" s="264"/>
      <c r="F73" s="264"/>
      <c r="G73" s="264"/>
      <c r="H73" s="264"/>
      <c r="I73" s="264"/>
      <c r="J73" s="264"/>
      <c r="K73" s="264"/>
      <c r="L73" s="264"/>
      <c r="M73" s="264"/>
      <c r="N73" s="264"/>
      <c r="O73" s="264"/>
      <c r="P73" s="264"/>
      <c r="Q73" s="264"/>
      <c r="R73" s="264"/>
      <c r="S73" s="264"/>
      <c r="T73" s="264"/>
      <c r="U73" s="264"/>
      <c r="V73" s="264"/>
      <c r="W73" s="264"/>
      <c r="X73" s="264"/>
      <c r="Y73" s="264"/>
      <c r="Z73" s="264"/>
      <c r="AA73" s="264"/>
      <c r="AB73" s="264"/>
      <c r="AC73" s="274"/>
      <c r="AD73" s="283" t="s">
        <v>196</v>
      </c>
      <c r="AE73" s="275" t="s">
        <v>375</v>
      </c>
      <c r="AF73" s="274"/>
      <c r="AG73" s="276"/>
      <c r="AP73" s="201"/>
    </row>
    <row r="74" spans="1:87" x14ac:dyDescent="0.25">
      <c r="A74" s="265"/>
      <c r="AG74" s="266"/>
      <c r="AP74" s="201"/>
    </row>
    <row r="75" spans="1:87" ht="15.75" thickBot="1" x14ac:dyDescent="0.3">
      <c r="A75" s="269">
        <v>31</v>
      </c>
      <c r="B75" s="270">
        <v>30</v>
      </c>
      <c r="C75" s="270">
        <v>29</v>
      </c>
      <c r="D75" s="270">
        <v>28</v>
      </c>
      <c r="E75" s="270">
        <v>27</v>
      </c>
      <c r="F75" s="270">
        <v>26</v>
      </c>
      <c r="G75" s="270">
        <v>25</v>
      </c>
      <c r="H75" s="270">
        <v>24</v>
      </c>
      <c r="I75" s="270">
        <v>23</v>
      </c>
      <c r="J75" s="270">
        <v>22</v>
      </c>
      <c r="K75" s="270">
        <v>21</v>
      </c>
      <c r="L75" s="270">
        <v>20</v>
      </c>
      <c r="M75" s="270">
        <v>19</v>
      </c>
      <c r="N75" s="270">
        <v>18</v>
      </c>
      <c r="O75" s="270">
        <v>17</v>
      </c>
      <c r="P75" s="270">
        <v>16</v>
      </c>
      <c r="Q75" s="270">
        <v>15</v>
      </c>
      <c r="R75" s="270">
        <v>14</v>
      </c>
      <c r="S75" s="270">
        <v>13</v>
      </c>
      <c r="T75" s="270">
        <v>12</v>
      </c>
      <c r="U75" s="270">
        <v>11</v>
      </c>
      <c r="V75" s="270">
        <v>10</v>
      </c>
      <c r="W75" s="270">
        <v>9</v>
      </c>
      <c r="X75" s="270">
        <v>8</v>
      </c>
      <c r="Y75" s="270">
        <v>7</v>
      </c>
      <c r="Z75" s="270">
        <v>6</v>
      </c>
      <c r="AA75" s="270">
        <v>5</v>
      </c>
      <c r="AB75" s="270">
        <v>4</v>
      </c>
      <c r="AC75" s="270">
        <v>3</v>
      </c>
      <c r="AD75" s="270">
        <v>2</v>
      </c>
      <c r="AE75" s="270">
        <v>1</v>
      </c>
      <c r="AF75" s="270">
        <v>0</v>
      </c>
      <c r="AG75" s="266"/>
      <c r="AN75" t="s">
        <v>24</v>
      </c>
      <c r="AP75" s="201"/>
    </row>
    <row r="76" spans="1:87" ht="15.75" thickBot="1" x14ac:dyDescent="0.3">
      <c r="A76" s="3" t="str">
        <f t="shared" ref="A76:J76" si="5">$L$76</f>
        <v>0</v>
      </c>
      <c r="B76" s="3" t="str">
        <f t="shared" si="5"/>
        <v>0</v>
      </c>
      <c r="C76" s="3" t="str">
        <f t="shared" si="5"/>
        <v>0</v>
      </c>
      <c r="D76" s="3" t="str">
        <f t="shared" si="5"/>
        <v>0</v>
      </c>
      <c r="E76" s="3" t="str">
        <f t="shared" si="5"/>
        <v>0</v>
      </c>
      <c r="F76" s="3" t="str">
        <f t="shared" si="5"/>
        <v>0</v>
      </c>
      <c r="G76" s="3" t="str">
        <f t="shared" si="5"/>
        <v>0</v>
      </c>
      <c r="H76" s="3" t="str">
        <f t="shared" si="5"/>
        <v>0</v>
      </c>
      <c r="I76" s="3" t="str">
        <f t="shared" si="5"/>
        <v>0</v>
      </c>
      <c r="J76" s="3" t="str">
        <f t="shared" si="5"/>
        <v>0</v>
      </c>
      <c r="K76" s="3" t="str">
        <f>$L$76</f>
        <v>0</v>
      </c>
      <c r="L76" s="292" t="str">
        <f>G5</f>
        <v>0</v>
      </c>
      <c r="M76" s="284" t="str" cm="1">
        <f t="array" ref="M76:T76">S5:Z5</f>
        <v>0</v>
      </c>
      <c r="N76" s="285" t="str">
        <v>0</v>
      </c>
      <c r="O76" s="285" t="str">
        <v>1</v>
      </c>
      <c r="P76" s="285" t="str">
        <v>1</v>
      </c>
      <c r="Q76" s="286" t="str">
        <v>0</v>
      </c>
      <c r="R76" s="278" t="str">
        <v>1</v>
      </c>
      <c r="S76" s="279" t="str">
        <v>0</v>
      </c>
      <c r="T76" s="280">
        <v>1</v>
      </c>
      <c r="U76" s="287" t="str">
        <f>R5</f>
        <v>1</v>
      </c>
      <c r="V76" s="191" t="str" cm="1">
        <f t="array" ref="V76:AE76">H5:Q5</f>
        <v>0</v>
      </c>
      <c r="W76" s="192" t="str">
        <v>0</v>
      </c>
      <c r="X76" s="192" t="str">
        <v>0</v>
      </c>
      <c r="Y76" s="192" t="str">
        <v>0</v>
      </c>
      <c r="Z76" s="192" t="str">
        <v>0</v>
      </c>
      <c r="AA76" s="193" t="str">
        <v>1</v>
      </c>
      <c r="AB76" s="288" t="str">
        <v>1</v>
      </c>
      <c r="AC76" s="288" t="str">
        <v>0</v>
      </c>
      <c r="AD76" s="288" t="str">
        <v>0</v>
      </c>
      <c r="AE76" s="289" t="str">
        <v>0</v>
      </c>
      <c r="AF76" s="73">
        <v>0</v>
      </c>
      <c r="AG76" s="266"/>
      <c r="AH76" s="480" cm="1">
        <f t="array" ref="AH76">MyBin2Dec(A76:AF76)</f>
        <v>219184</v>
      </c>
      <c r="AI76" s="481"/>
      <c r="AJ76" s="481"/>
      <c r="AK76" s="481"/>
      <c r="AP76" s="201"/>
    </row>
    <row r="77" spans="1:87" x14ac:dyDescent="0.25">
      <c r="A77" s="265"/>
      <c r="K77" s="273" t="s">
        <v>372</v>
      </c>
      <c r="L77" s="270">
        <v>31</v>
      </c>
      <c r="M77" s="270">
        <v>19</v>
      </c>
      <c r="N77" s="270">
        <v>18</v>
      </c>
      <c r="O77" s="270">
        <v>17</v>
      </c>
      <c r="P77" s="270">
        <v>16</v>
      </c>
      <c r="Q77" s="270">
        <v>15</v>
      </c>
      <c r="R77" s="270">
        <v>14</v>
      </c>
      <c r="S77" s="270">
        <v>13</v>
      </c>
      <c r="T77" s="270">
        <v>12</v>
      </c>
      <c r="U77" s="270">
        <v>20</v>
      </c>
      <c r="V77" s="270">
        <v>30</v>
      </c>
      <c r="W77" s="270">
        <v>29</v>
      </c>
      <c r="X77" s="270">
        <v>28</v>
      </c>
      <c r="Y77" s="270">
        <v>27</v>
      </c>
      <c r="Z77" s="270">
        <v>26</v>
      </c>
      <c r="AA77" s="270">
        <v>25</v>
      </c>
      <c r="AB77" s="270">
        <v>24</v>
      </c>
      <c r="AC77" s="270">
        <v>23</v>
      </c>
      <c r="AD77" s="270">
        <v>22</v>
      </c>
      <c r="AE77" s="270">
        <v>21</v>
      </c>
      <c r="AG77" s="266" t="s">
        <v>374</v>
      </c>
      <c r="AP77" s="201"/>
    </row>
    <row r="78" spans="1:87" ht="15.75" thickBot="1" x14ac:dyDescent="0.3">
      <c r="A78" s="267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268"/>
      <c r="AP78" s="201"/>
    </row>
    <row r="79" spans="1:87" x14ac:dyDescent="0.25">
      <c r="AP79" s="201"/>
    </row>
    <row r="80" spans="1:87" ht="15.75" thickBot="1" x14ac:dyDescent="0.3">
      <c r="AP80" s="201"/>
    </row>
    <row r="81" spans="1:42" x14ac:dyDescent="0.25">
      <c r="A81" s="263" t="s">
        <v>373</v>
      </c>
      <c r="B81" s="264"/>
      <c r="C81" s="264"/>
      <c r="D81" s="264"/>
      <c r="E81" s="264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264"/>
      <c r="Q81" s="264"/>
      <c r="R81" s="264"/>
      <c r="S81" s="264"/>
      <c r="T81" s="264"/>
      <c r="U81" s="264"/>
      <c r="V81" s="264"/>
      <c r="W81" s="264"/>
      <c r="X81" s="264"/>
      <c r="Y81" s="264"/>
      <c r="Z81" s="264"/>
      <c r="AA81" s="264"/>
      <c r="AB81" s="264"/>
      <c r="AC81" s="274"/>
      <c r="AD81" s="283" t="s">
        <v>27</v>
      </c>
      <c r="AE81" s="275" t="s">
        <v>375</v>
      </c>
      <c r="AF81" s="274"/>
      <c r="AG81" s="276"/>
      <c r="AP81" s="201"/>
    </row>
    <row r="82" spans="1:42" x14ac:dyDescent="0.25">
      <c r="A82" s="265"/>
      <c r="AG82" s="266"/>
      <c r="AP82" s="201"/>
    </row>
    <row r="83" spans="1:42" ht="15.75" thickBot="1" x14ac:dyDescent="0.3">
      <c r="A83" s="269">
        <v>31</v>
      </c>
      <c r="B83" s="270">
        <v>30</v>
      </c>
      <c r="C83" s="270">
        <v>29</v>
      </c>
      <c r="D83" s="270">
        <v>28</v>
      </c>
      <c r="E83" s="270">
        <v>27</v>
      </c>
      <c r="F83" s="270">
        <v>26</v>
      </c>
      <c r="G83" s="270">
        <v>25</v>
      </c>
      <c r="H83" s="270">
        <v>24</v>
      </c>
      <c r="I83" s="270">
        <v>23</v>
      </c>
      <c r="J83" s="270">
        <v>22</v>
      </c>
      <c r="K83" s="270">
        <v>21</v>
      </c>
      <c r="L83" s="270">
        <v>20</v>
      </c>
      <c r="M83" s="270">
        <v>19</v>
      </c>
      <c r="N83" s="270">
        <v>18</v>
      </c>
      <c r="O83" s="270">
        <v>17</v>
      </c>
      <c r="P83" s="270">
        <v>16</v>
      </c>
      <c r="Q83" s="270">
        <v>15</v>
      </c>
      <c r="R83" s="270">
        <v>14</v>
      </c>
      <c r="S83" s="270">
        <v>13</v>
      </c>
      <c r="T83" s="270">
        <v>12</v>
      </c>
      <c r="U83" s="270">
        <v>11</v>
      </c>
      <c r="V83" s="270">
        <v>10</v>
      </c>
      <c r="W83" s="270">
        <v>9</v>
      </c>
      <c r="X83" s="270">
        <v>8</v>
      </c>
      <c r="Y83" s="270">
        <v>7</v>
      </c>
      <c r="Z83" s="270">
        <v>6</v>
      </c>
      <c r="AA83" s="270">
        <v>5</v>
      </c>
      <c r="AB83" s="270">
        <v>4</v>
      </c>
      <c r="AC83" s="270">
        <v>3</v>
      </c>
      <c r="AD83" s="270">
        <v>2</v>
      </c>
      <c r="AE83" s="270">
        <v>1</v>
      </c>
      <c r="AF83" s="270">
        <v>0</v>
      </c>
      <c r="AG83" s="266"/>
      <c r="AN83" t="s">
        <v>378</v>
      </c>
      <c r="AP83" s="201"/>
    </row>
    <row r="84" spans="1:42" ht="15.75" thickBot="1" x14ac:dyDescent="0.3">
      <c r="A84" s="277" t="str">
        <f t="shared" ref="A84:S84" si="6">$U$60</f>
        <v>0</v>
      </c>
      <c r="B84" s="3" t="str">
        <f t="shared" si="6"/>
        <v>0</v>
      </c>
      <c r="C84" s="3" t="str">
        <f t="shared" si="6"/>
        <v>0</v>
      </c>
      <c r="D84" s="3" t="str">
        <f t="shared" si="6"/>
        <v>0</v>
      </c>
      <c r="E84" s="3" t="str">
        <f t="shared" si="6"/>
        <v>0</v>
      </c>
      <c r="F84" s="3" t="str">
        <f t="shared" si="6"/>
        <v>0</v>
      </c>
      <c r="G84" s="3" t="str">
        <f t="shared" si="6"/>
        <v>0</v>
      </c>
      <c r="H84" s="3" t="str">
        <f t="shared" si="6"/>
        <v>0</v>
      </c>
      <c r="I84" s="3" t="str">
        <f t="shared" si="6"/>
        <v>0</v>
      </c>
      <c r="J84" s="3" t="str">
        <f t="shared" si="6"/>
        <v>0</v>
      </c>
      <c r="K84" s="3" t="str">
        <f t="shared" si="6"/>
        <v>0</v>
      </c>
      <c r="L84" s="3" t="str">
        <f t="shared" si="6"/>
        <v>0</v>
      </c>
      <c r="M84" s="3" t="str">
        <f t="shared" si="6"/>
        <v>0</v>
      </c>
      <c r="N84" s="3" t="str">
        <f t="shared" si="6"/>
        <v>0</v>
      </c>
      <c r="O84" s="3" t="str">
        <f t="shared" si="6"/>
        <v>0</v>
      </c>
      <c r="P84" s="3" t="str">
        <f t="shared" si="6"/>
        <v>0</v>
      </c>
      <c r="Q84" s="3" t="str">
        <f t="shared" si="6"/>
        <v>0</v>
      </c>
      <c r="R84" s="3" t="str">
        <f t="shared" si="6"/>
        <v>0</v>
      </c>
      <c r="S84" s="3" t="str">
        <f t="shared" si="6"/>
        <v>0</v>
      </c>
      <c r="T84" s="3" t="str">
        <f>$U$60</f>
        <v>0</v>
      </c>
      <c r="U84" s="291" t="str" cm="1">
        <f t="array" ref="U84:AF84">G5:R5</f>
        <v>0</v>
      </c>
      <c r="V84" s="279" t="str">
        <v>0</v>
      </c>
      <c r="W84" s="279" t="str">
        <v>0</v>
      </c>
      <c r="X84" s="279" t="str">
        <v>0</v>
      </c>
      <c r="Y84" s="279" t="str">
        <v>0</v>
      </c>
      <c r="Z84" s="279" t="str">
        <v>0</v>
      </c>
      <c r="AA84" s="280" t="str">
        <v>1</v>
      </c>
      <c r="AB84" s="290" t="str">
        <v>1</v>
      </c>
      <c r="AC84" s="288" t="str">
        <v>0</v>
      </c>
      <c r="AD84" s="288" t="str">
        <v>0</v>
      </c>
      <c r="AE84" s="288" t="str">
        <v>0</v>
      </c>
      <c r="AF84" s="289" t="str">
        <v>1</v>
      </c>
      <c r="AG84" s="266"/>
      <c r="AH84" s="480" cm="1">
        <f t="array" ref="AH84">MyBin2Dec(A84:AF84)</f>
        <v>49</v>
      </c>
      <c r="AI84" s="481"/>
      <c r="AJ84" s="481"/>
      <c r="AK84" s="481"/>
      <c r="AP84" s="201"/>
    </row>
    <row r="85" spans="1:42" x14ac:dyDescent="0.25">
      <c r="A85" s="265"/>
      <c r="Q85" s="271"/>
      <c r="R85" s="272"/>
      <c r="S85" s="272"/>
      <c r="T85" s="273" t="s">
        <v>372</v>
      </c>
      <c r="U85" s="270">
        <v>31</v>
      </c>
      <c r="V85" s="270">
        <v>30</v>
      </c>
      <c r="W85" s="270">
        <v>29</v>
      </c>
      <c r="X85" s="270">
        <v>28</v>
      </c>
      <c r="Y85" s="270">
        <v>27</v>
      </c>
      <c r="Z85" s="270">
        <v>26</v>
      </c>
      <c r="AA85" s="270">
        <v>25</v>
      </c>
      <c r="AB85" s="270">
        <v>24</v>
      </c>
      <c r="AC85" s="270">
        <v>23</v>
      </c>
      <c r="AD85" s="270">
        <v>22</v>
      </c>
      <c r="AE85" s="270">
        <v>21</v>
      </c>
      <c r="AF85" s="270">
        <v>20</v>
      </c>
      <c r="AG85" s="266" t="s">
        <v>374</v>
      </c>
      <c r="AP85" s="201"/>
    </row>
    <row r="86" spans="1:42" ht="15.75" thickBot="1" x14ac:dyDescent="0.3">
      <c r="A86" s="267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268"/>
      <c r="AP86" s="201"/>
    </row>
    <row r="87" spans="1:42" x14ac:dyDescent="0.25">
      <c r="AP87" s="201"/>
    </row>
    <row r="88" spans="1:42" ht="15.75" thickBot="1" x14ac:dyDescent="0.3">
      <c r="AP88" s="201"/>
    </row>
    <row r="89" spans="1:42" x14ac:dyDescent="0.25">
      <c r="A89" s="263" t="s">
        <v>373</v>
      </c>
      <c r="B89" s="264"/>
      <c r="C89" s="264"/>
      <c r="D89" s="264"/>
      <c r="E89" s="264"/>
      <c r="F89" s="264"/>
      <c r="G89" s="264"/>
      <c r="H89" s="264"/>
      <c r="I89" s="264"/>
      <c r="J89" s="264"/>
      <c r="K89" s="264"/>
      <c r="L89" s="264"/>
      <c r="M89" s="264"/>
      <c r="N89" s="264"/>
      <c r="O89" s="264"/>
      <c r="P89" s="264"/>
      <c r="Q89" s="264"/>
      <c r="R89" s="264"/>
      <c r="S89" s="264"/>
      <c r="T89" s="264"/>
      <c r="U89" s="264"/>
      <c r="V89" s="264"/>
      <c r="W89" s="264"/>
      <c r="X89" s="264"/>
      <c r="Y89" s="264"/>
      <c r="Z89" s="264"/>
      <c r="AA89" s="264"/>
      <c r="AB89" s="264"/>
      <c r="AC89" s="274"/>
      <c r="AD89" s="283" t="s">
        <v>99</v>
      </c>
      <c r="AE89" s="275" t="s">
        <v>375</v>
      </c>
      <c r="AF89" s="274"/>
      <c r="AG89" s="276"/>
      <c r="AP89" s="201"/>
    </row>
    <row r="90" spans="1:42" x14ac:dyDescent="0.25">
      <c r="A90" s="265"/>
      <c r="AG90" s="266"/>
      <c r="AP90" s="201"/>
    </row>
    <row r="91" spans="1:42" ht="15.75" thickBot="1" x14ac:dyDescent="0.3">
      <c r="A91" s="269">
        <v>31</v>
      </c>
      <c r="B91" s="270">
        <v>30</v>
      </c>
      <c r="C91" s="270">
        <v>29</v>
      </c>
      <c r="D91" s="270">
        <v>28</v>
      </c>
      <c r="E91" s="270">
        <v>27</v>
      </c>
      <c r="F91" s="270">
        <v>26</v>
      </c>
      <c r="G91" s="270">
        <v>25</v>
      </c>
      <c r="H91" s="270">
        <v>24</v>
      </c>
      <c r="I91" s="270">
        <v>23</v>
      </c>
      <c r="J91" s="270">
        <v>22</v>
      </c>
      <c r="K91" s="270">
        <v>21</v>
      </c>
      <c r="L91" s="270">
        <v>20</v>
      </c>
      <c r="M91" s="270">
        <v>19</v>
      </c>
      <c r="N91" s="270">
        <v>18</v>
      </c>
      <c r="O91" s="270">
        <v>17</v>
      </c>
      <c r="P91" s="270">
        <v>16</v>
      </c>
      <c r="Q91" s="270">
        <v>15</v>
      </c>
      <c r="R91" s="270">
        <v>14</v>
      </c>
      <c r="S91" s="270">
        <v>13</v>
      </c>
      <c r="T91" s="270">
        <v>12</v>
      </c>
      <c r="U91" s="270">
        <v>11</v>
      </c>
      <c r="V91" s="270">
        <v>10</v>
      </c>
      <c r="W91" s="270">
        <v>9</v>
      </c>
      <c r="X91" s="270">
        <v>8</v>
      </c>
      <c r="Y91" s="270">
        <v>7</v>
      </c>
      <c r="Z91" s="270">
        <v>6</v>
      </c>
      <c r="AA91" s="270">
        <v>5</v>
      </c>
      <c r="AB91" s="270">
        <v>4</v>
      </c>
      <c r="AC91" s="270">
        <v>3</v>
      </c>
      <c r="AD91" s="270">
        <v>2</v>
      </c>
      <c r="AE91" s="270">
        <v>1</v>
      </c>
      <c r="AF91" s="270">
        <v>0</v>
      </c>
      <c r="AG91" s="266"/>
      <c r="AN91" t="s">
        <v>22</v>
      </c>
      <c r="AP91" s="201"/>
    </row>
    <row r="92" spans="1:42" ht="15.75" thickBot="1" x14ac:dyDescent="0.3">
      <c r="A92" s="3" t="str">
        <f t="shared" ref="A92:J92" si="7">$L$76</f>
        <v>0</v>
      </c>
      <c r="B92" s="3" t="str">
        <f t="shared" si="7"/>
        <v>0</v>
      </c>
      <c r="C92" s="3" t="str">
        <f t="shared" si="7"/>
        <v>0</v>
      </c>
      <c r="D92" s="3" t="str">
        <f t="shared" si="7"/>
        <v>0</v>
      </c>
      <c r="E92" s="3" t="str">
        <f t="shared" si="7"/>
        <v>0</v>
      </c>
      <c r="F92" s="3" t="str">
        <f t="shared" si="7"/>
        <v>0</v>
      </c>
      <c r="G92" s="3" t="str">
        <f t="shared" si="7"/>
        <v>0</v>
      </c>
      <c r="H92" s="3" t="str">
        <f t="shared" si="7"/>
        <v>0</v>
      </c>
      <c r="I92" s="3" t="str">
        <f t="shared" si="7"/>
        <v>0</v>
      </c>
      <c r="J92" s="3" t="str">
        <f t="shared" si="7"/>
        <v>0</v>
      </c>
      <c r="K92" s="3" t="str">
        <f>$L$76</f>
        <v>0</v>
      </c>
      <c r="L92" s="3" t="str">
        <f>$L$76</f>
        <v>0</v>
      </c>
      <c r="M92" s="293" t="str" cm="1">
        <f t="array" ref="M92:AF92">G5:Z5</f>
        <v>0</v>
      </c>
      <c r="N92" s="192" t="str">
        <v>0</v>
      </c>
      <c r="O92" s="192" t="str">
        <v>0</v>
      </c>
      <c r="P92" s="192" t="str">
        <v>0</v>
      </c>
      <c r="Q92" s="192" t="str">
        <v>0</v>
      </c>
      <c r="R92" s="192" t="str">
        <v>0</v>
      </c>
      <c r="S92" s="193" t="str">
        <v>1</v>
      </c>
      <c r="T92" s="290" t="str">
        <v>1</v>
      </c>
      <c r="U92" s="288" t="str">
        <v>0</v>
      </c>
      <c r="V92" s="288" t="str">
        <v>0</v>
      </c>
      <c r="W92" s="288" t="str">
        <v>0</v>
      </c>
      <c r="X92" s="289" t="str">
        <v>1</v>
      </c>
      <c r="Y92" s="284" t="str">
        <v>0</v>
      </c>
      <c r="Z92" s="285" t="str">
        <v>0</v>
      </c>
      <c r="AA92" s="285" t="str">
        <v>1</v>
      </c>
      <c r="AB92" s="285" t="str">
        <v>1</v>
      </c>
      <c r="AC92" s="286" t="str">
        <v>0</v>
      </c>
      <c r="AD92" s="278" t="str">
        <v>1</v>
      </c>
      <c r="AE92" s="279" t="str">
        <v>0</v>
      </c>
      <c r="AF92" s="280">
        <v>1</v>
      </c>
      <c r="AG92" s="266"/>
      <c r="AH92" s="480" cm="1">
        <f t="array" ref="AH92">MyBin2Dec(A92:AF92)</f>
        <v>12597</v>
      </c>
      <c r="AI92" s="481"/>
      <c r="AJ92" s="481"/>
      <c r="AK92" s="481"/>
      <c r="AP92" s="201"/>
    </row>
    <row r="93" spans="1:42" x14ac:dyDescent="0.25">
      <c r="A93" s="265"/>
      <c r="K93" s="273" t="s">
        <v>372</v>
      </c>
      <c r="L93" s="270"/>
      <c r="M93" s="270">
        <v>31</v>
      </c>
      <c r="N93" s="270">
        <v>30</v>
      </c>
      <c r="O93" s="270">
        <v>29</v>
      </c>
      <c r="P93" s="270">
        <v>28</v>
      </c>
      <c r="Q93" s="270">
        <v>27</v>
      </c>
      <c r="R93" s="270">
        <v>26</v>
      </c>
      <c r="S93" s="270">
        <v>25</v>
      </c>
      <c r="T93" s="270">
        <v>24</v>
      </c>
      <c r="U93" s="270">
        <v>23</v>
      </c>
      <c r="V93" s="270">
        <v>22</v>
      </c>
      <c r="W93" s="270">
        <v>21</v>
      </c>
      <c r="X93" s="270">
        <v>20</v>
      </c>
      <c r="Y93" s="270">
        <v>19</v>
      </c>
      <c r="Z93" s="270">
        <v>18</v>
      </c>
      <c r="AA93" s="270">
        <v>17</v>
      </c>
      <c r="AB93" s="270">
        <v>16</v>
      </c>
      <c r="AC93" s="270">
        <v>15</v>
      </c>
      <c r="AD93" s="270">
        <v>14</v>
      </c>
      <c r="AE93" s="270">
        <v>13</v>
      </c>
      <c r="AF93" s="270">
        <v>12</v>
      </c>
      <c r="AG93" s="266" t="s">
        <v>374</v>
      </c>
    </row>
    <row r="94" spans="1:42" ht="15.75" thickBot="1" x14ac:dyDescent="0.3">
      <c r="A94" s="267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268"/>
    </row>
  </sheetData>
  <mergeCells count="89">
    <mergeCell ref="BF38:BI38"/>
    <mergeCell ref="CO22:CQ22"/>
    <mergeCell ref="BR67:BS67"/>
    <mergeCell ref="AX59:BB59"/>
    <mergeCell ref="BC40:BC44"/>
    <mergeCell ref="BD45:BD49"/>
    <mergeCell ref="BR34:BS34"/>
    <mergeCell ref="BR38:BS38"/>
    <mergeCell ref="BR56:BS56"/>
    <mergeCell ref="BR43:BS43"/>
    <mergeCell ref="BR52:BS52"/>
    <mergeCell ref="BR48:BS48"/>
    <mergeCell ref="BR61:BS61"/>
    <mergeCell ref="AH68:AK68"/>
    <mergeCell ref="AH76:AK76"/>
    <mergeCell ref="AH84:AK84"/>
    <mergeCell ref="AH92:AK92"/>
    <mergeCell ref="AP24:AS24"/>
    <mergeCell ref="AP25:AS25"/>
    <mergeCell ref="AP26:AS26"/>
    <mergeCell ref="AP27:AS27"/>
    <mergeCell ref="AP28:AS28"/>
    <mergeCell ref="AN34:AO34"/>
    <mergeCell ref="AN24:AO24"/>
    <mergeCell ref="AN25:AO25"/>
    <mergeCell ref="AN26:AO26"/>
    <mergeCell ref="AN29:AO29"/>
    <mergeCell ref="AN28:AO28"/>
    <mergeCell ref="AN27:AO27"/>
    <mergeCell ref="AV1:AV5"/>
    <mergeCell ref="G4:M4"/>
    <mergeCell ref="N4:R4"/>
    <mergeCell ref="S4:W4"/>
    <mergeCell ref="X4:Z4"/>
    <mergeCell ref="AA4:AE4"/>
    <mergeCell ref="AF4:AL4"/>
    <mergeCell ref="AN52:AO52"/>
    <mergeCell ref="AN51:AO51"/>
    <mergeCell ref="AN50:AO50"/>
    <mergeCell ref="AN42:AO42"/>
    <mergeCell ref="AN43:AO43"/>
    <mergeCell ref="AN44:AO44"/>
    <mergeCell ref="AN45:AO45"/>
    <mergeCell ref="AN46:AO46"/>
    <mergeCell ref="AN47:AO47"/>
    <mergeCell ref="AN49:AO49"/>
    <mergeCell ref="AN48:AO48"/>
    <mergeCell ref="AP29:AS29"/>
    <mergeCell ref="AP30:AS30"/>
    <mergeCell ref="AP31:AS31"/>
    <mergeCell ref="AN36:AO36"/>
    <mergeCell ref="AN37:AO37"/>
    <mergeCell ref="AP32:AS32"/>
    <mergeCell ref="AP33:AS33"/>
    <mergeCell ref="AP34:AS34"/>
    <mergeCell ref="AP35:AS35"/>
    <mergeCell ref="AP36:AS36"/>
    <mergeCell ref="AP37:AS37"/>
    <mergeCell ref="AN35:AO35"/>
    <mergeCell ref="AN30:AO30"/>
    <mergeCell ref="AN31:AO31"/>
    <mergeCell ref="AN32:AO32"/>
    <mergeCell ref="AN33:AO33"/>
    <mergeCell ref="AN39:AO39"/>
    <mergeCell ref="AN40:AO40"/>
    <mergeCell ref="AN41:AO41"/>
    <mergeCell ref="AP43:AS43"/>
    <mergeCell ref="AP38:AS38"/>
    <mergeCell ref="AP39:AS39"/>
    <mergeCell ref="AP40:AS40"/>
    <mergeCell ref="AP41:AS41"/>
    <mergeCell ref="AP42:AS42"/>
    <mergeCell ref="AN38:AO38"/>
    <mergeCell ref="AH61:AK61"/>
    <mergeCell ref="AP55:AS55"/>
    <mergeCell ref="AP44:AS44"/>
    <mergeCell ref="AP45:AS45"/>
    <mergeCell ref="AP46:AS46"/>
    <mergeCell ref="AP47:AS47"/>
    <mergeCell ref="AP48:AS48"/>
    <mergeCell ref="AP49:AS49"/>
    <mergeCell ref="AP50:AS50"/>
    <mergeCell ref="AP51:AS51"/>
    <mergeCell ref="AP52:AS52"/>
    <mergeCell ref="AP53:AS53"/>
    <mergeCell ref="AP54:AS54"/>
    <mergeCell ref="AN55:AO55"/>
    <mergeCell ref="AN54:AO54"/>
    <mergeCell ref="AN53:AO53"/>
  </mergeCells>
  <conditionalFormatting sqref="AN24:AN55">
    <cfRule type="cellIs" dxfId="44" priority="42" stopIfTrue="1" operator="equal">
      <formula>$AH$27</formula>
    </cfRule>
    <cfRule type="cellIs" dxfId="43" priority="43" stopIfTrue="1" operator="equal">
      <formula>$AH$29</formula>
    </cfRule>
    <cfRule type="cellIs" dxfId="42" priority="47" stopIfTrue="1" operator="equal">
      <formula>$AH$31</formula>
    </cfRule>
  </conditionalFormatting>
  <conditionalFormatting sqref="AM24:AM55">
    <cfRule type="cellIs" dxfId="41" priority="44" stopIfTrue="1" operator="equal">
      <formula>$U$16</formula>
    </cfRule>
    <cfRule type="cellIs" dxfId="40" priority="45" stopIfTrue="1" operator="equal">
      <formula>$AC$16</formula>
    </cfRule>
    <cfRule type="cellIs" dxfId="39" priority="46" stopIfTrue="1" operator="equal">
      <formula>$P$16</formula>
    </cfRule>
  </conditionalFormatting>
  <conditionalFormatting sqref="AM29">
    <cfRule type="expression" dxfId="38" priority="41">
      <formula>$AC$16=$AN29</formula>
    </cfRule>
  </conditionalFormatting>
  <conditionalFormatting sqref="AP24:AP55">
    <cfRule type="expression" dxfId="37" priority="37">
      <formula>$AC$16=$AM24</formula>
    </cfRule>
    <cfRule type="expression" dxfId="36" priority="38">
      <formula>$U$16=$AM24</formula>
    </cfRule>
    <cfRule type="expression" dxfId="35" priority="39">
      <formula>$P$16=$AM24</formula>
    </cfRule>
  </conditionalFormatting>
  <conditionalFormatting sqref="BT48:BU48 BT34:BU34">
    <cfRule type="expression" dxfId="34" priority="36">
      <formula>($H$5=0)</formula>
    </cfRule>
  </conditionalFormatting>
  <conditionalFormatting sqref="BT52:BU52 BT38:BU38">
    <cfRule type="expression" dxfId="33" priority="35">
      <formula>($H$5&lt;&gt;0)</formula>
    </cfRule>
  </conditionalFormatting>
  <conditionalFormatting sqref="BT56:CB56">
    <cfRule type="expression" dxfId="32" priority="34">
      <formula>($CC$29="110")</formula>
    </cfRule>
  </conditionalFormatting>
  <conditionalFormatting sqref="BT43:CB43">
    <cfRule type="expression" dxfId="31" priority="33">
      <formula>($CC$29="100")</formula>
    </cfRule>
  </conditionalFormatting>
  <conditionalFormatting sqref="BT61:CB61">
    <cfRule type="expression" dxfId="30" priority="32">
      <formula>($CC$29="111")</formula>
    </cfRule>
  </conditionalFormatting>
  <conditionalFormatting sqref="BY50:CB50">
    <cfRule type="expression" dxfId="29" priority="31">
      <formula>($CC$29="101")</formula>
    </cfRule>
  </conditionalFormatting>
  <conditionalFormatting sqref="BY36:CB36">
    <cfRule type="expression" dxfId="28" priority="30">
      <formula>($CC$29="000")</formula>
    </cfRule>
  </conditionalFormatting>
  <conditionalFormatting sqref="AT24:AU55">
    <cfRule type="expression" dxfId="27" priority="28" stopIfTrue="1">
      <formula>(INDIRECT("AL" &amp; ROW( ))=$P$16)</formula>
    </cfRule>
  </conditionalFormatting>
  <conditionalFormatting sqref="AU24:AX55">
    <cfRule type="expression" dxfId="26" priority="29" stopIfTrue="1">
      <formula>(INDIRECT("AL" &amp; ROW( ))=$U$16)</formula>
    </cfRule>
  </conditionalFormatting>
  <conditionalFormatting sqref="AZ38:BC38">
    <cfRule type="expression" dxfId="25" priority="25" stopIfTrue="1">
      <formula>($BB$9+$BB$10)&gt;0</formula>
    </cfRule>
  </conditionalFormatting>
  <conditionalFormatting sqref="CF47:CG47">
    <cfRule type="expression" dxfId="24" priority="23">
      <formula>(IsRtype&gt;0)</formula>
    </cfRule>
  </conditionalFormatting>
  <conditionalFormatting sqref="BW31:CG31">
    <cfRule type="expression" dxfId="23" priority="21">
      <formula>($BB$7 + $BB$11 &gt;0)</formula>
    </cfRule>
  </conditionalFormatting>
  <conditionalFormatting sqref="AL61:AO61">
    <cfRule type="expression" dxfId="22" priority="20">
      <formula>($BB$7=1)</formula>
    </cfRule>
  </conditionalFormatting>
  <conditionalFormatting sqref="CN22:CO22">
    <cfRule type="expression" dxfId="21" priority="19" stopIfTrue="1">
      <formula>(INDIRECT("AL" &amp; ROW( ))=$U$16)</formula>
    </cfRule>
  </conditionalFormatting>
  <conditionalFormatting sqref="AV22:AV23">
    <cfRule type="expression" dxfId="20" priority="18" stopIfTrue="1">
      <formula>(INDIRECT("AL" &amp; ROW( ))=$U$16)</formula>
    </cfRule>
  </conditionalFormatting>
  <conditionalFormatting sqref="AW22:BB22">
    <cfRule type="expression" dxfId="19" priority="17" stopIfTrue="1">
      <formula>(INDIRECT("AL" &amp; ROW( ))=$U$16)</formula>
    </cfRule>
  </conditionalFormatting>
  <conditionalFormatting sqref="BY22:CA22">
    <cfRule type="expression" dxfId="18" priority="16" stopIfTrue="1">
      <formula>(INDIRECT("AL" &amp; ROW( ))=$U$16)</formula>
    </cfRule>
  </conditionalFormatting>
  <conditionalFormatting sqref="CE22:CF22">
    <cfRule type="expression" dxfId="17" priority="15" stopIfTrue="1">
      <formula>(INDIRECT("AL" &amp; ROW( ))=$U$16)</formula>
    </cfRule>
  </conditionalFormatting>
  <conditionalFormatting sqref="CJ22">
    <cfRule type="expression" dxfId="16" priority="14" stopIfTrue="1">
      <formula>(INDIRECT("AL" &amp; ROW( ))=$U$16)</formula>
    </cfRule>
  </conditionalFormatting>
  <conditionalFormatting sqref="CM22">
    <cfRule type="expression" dxfId="15" priority="13" stopIfTrue="1">
      <formula>(INDIRECT("AL" &amp; ROW( ))=$U$16)</formula>
    </cfRule>
  </conditionalFormatting>
  <conditionalFormatting sqref="BX22">
    <cfRule type="expression" dxfId="14" priority="12" stopIfTrue="1">
      <formula>(INDIRECT("AL" &amp; ROW( ))=$U$16)</formula>
    </cfRule>
  </conditionalFormatting>
  <conditionalFormatting sqref="BC22">
    <cfRule type="expression" dxfId="13" priority="11" stopIfTrue="1">
      <formula>(INDIRECT("AL" &amp; ROW( ))=$U$16)</formula>
    </cfRule>
  </conditionalFormatting>
  <conditionalFormatting sqref="AL68:AO68">
    <cfRule type="expression" dxfId="12" priority="10">
      <formula>$BB$10=1</formula>
    </cfRule>
  </conditionalFormatting>
  <conditionalFormatting sqref="AL76:AO76">
    <cfRule type="expression" dxfId="11" priority="9">
      <formula>($BB$11=1)</formula>
    </cfRule>
  </conditionalFormatting>
  <conditionalFormatting sqref="BD40:BD43">
    <cfRule type="expression" dxfId="10" priority="8">
      <formula>($BB$6+$BB$7+$BB$8+$BB$11&gt;0)</formula>
    </cfRule>
  </conditionalFormatting>
  <conditionalFormatting sqref="AL84:AO84">
    <cfRule type="expression" dxfId="9" priority="7">
      <formula>$BB$6=1</formula>
    </cfRule>
  </conditionalFormatting>
  <conditionalFormatting sqref="AL92:AO92">
    <cfRule type="expression" dxfId="8" priority="6">
      <formula>$BB$8=1</formula>
    </cfRule>
  </conditionalFormatting>
  <conditionalFormatting sqref="CM16:CO16">
    <cfRule type="expression" dxfId="7" priority="5">
      <formula>(IsLoadIns&gt;0)</formula>
    </cfRule>
  </conditionalFormatting>
  <conditionalFormatting sqref="CK17:CK19">
    <cfRule type="expression" dxfId="6" priority="4">
      <formula>(1-IsLoadIns)</formula>
    </cfRule>
  </conditionalFormatting>
  <conditionalFormatting sqref="BY69:CB69">
    <cfRule type="expression" dxfId="5" priority="2">
      <formula>($CC$29="000")</formula>
    </cfRule>
  </conditionalFormatting>
  <conditionalFormatting sqref="BT67:CG67">
    <cfRule type="expression" dxfId="4" priority="1">
      <formula>($AN$5="0000011")</formula>
    </cfRule>
  </conditionalFormatting>
  <pageMargins left="0.7" right="0.7" top="0.75" bottom="0.75" header="0.3" footer="0.3"/>
  <ignoredErrors>
    <ignoredError sqref="AO13 BF13 P17 U17 AC17 AN5" formulaRange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" id="{28A7A076-463D-4320-B29F-9FC969C64A0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BB5:BB11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9A97-7F4E-435D-ABAE-80B528FC26DB}">
  <dimension ref="A1:BE17"/>
  <sheetViews>
    <sheetView zoomScale="145" zoomScaleNormal="145" workbookViewId="0">
      <selection activeCell="O17" sqref="O17"/>
    </sheetView>
  </sheetViews>
  <sheetFormatPr defaultColWidth="2.7109375" defaultRowHeight="15" x14ac:dyDescent="0.25"/>
  <cols>
    <col min="40" max="40" width="2.85546875" customWidth="1"/>
  </cols>
  <sheetData>
    <row r="1" spans="1:57" ht="16.5" thickTop="1" thickBot="1" x14ac:dyDescent="0.3">
      <c r="R1" s="371" t="s">
        <v>403</v>
      </c>
      <c r="S1" s="372"/>
      <c r="T1" s="372"/>
      <c r="U1" s="372"/>
      <c r="V1" s="372"/>
      <c r="W1" s="372"/>
      <c r="X1" s="372"/>
      <c r="Y1" s="372"/>
      <c r="Z1" s="372"/>
      <c r="AA1" s="416">
        <v>1</v>
      </c>
      <c r="AB1" s="249"/>
      <c r="AC1" s="249"/>
      <c r="AD1" s="249"/>
    </row>
    <row r="2" spans="1:57" ht="15.75" thickTop="1" x14ac:dyDescent="0.25">
      <c r="R2" s="344" t="s">
        <v>405</v>
      </c>
      <c r="S2" s="345"/>
      <c r="T2" s="345"/>
      <c r="U2" s="345"/>
      <c r="V2" s="345"/>
      <c r="W2" s="345"/>
      <c r="X2" s="345" t="s">
        <v>392</v>
      </c>
      <c r="Y2" s="345"/>
      <c r="Z2" s="345"/>
      <c r="AA2" s="345"/>
      <c r="AD2" s="333"/>
      <c r="AE2" s="78" t="s">
        <v>437</v>
      </c>
      <c r="AF2" s="420"/>
      <c r="AG2" s="420"/>
      <c r="AH2" s="420"/>
      <c r="AI2" s="420"/>
      <c r="AJ2" s="420"/>
    </row>
    <row r="3" spans="1:57" ht="15.75" thickBot="1" x14ac:dyDescent="0.3">
      <c r="R3" s="373" t="s">
        <v>409</v>
      </c>
      <c r="AD3" s="248"/>
      <c r="AE3" s="420"/>
      <c r="AF3" s="420"/>
      <c r="AG3" s="78" t="s">
        <v>438</v>
      </c>
      <c r="AH3" s="420"/>
      <c r="AI3" s="420"/>
      <c r="AJ3" s="420"/>
    </row>
    <row r="4" spans="1:57" ht="16.5" thickTop="1" thickBot="1" x14ac:dyDescent="0.3">
      <c r="C4" s="373" t="s">
        <v>435</v>
      </c>
      <c r="R4" s="371" t="s">
        <v>404</v>
      </c>
      <c r="S4" s="372"/>
      <c r="T4" s="372"/>
      <c r="U4" s="372"/>
      <c r="V4" s="372"/>
      <c r="W4" s="372"/>
      <c r="X4" s="372"/>
      <c r="Y4" s="372"/>
      <c r="Z4" s="372"/>
      <c r="AA4" s="416"/>
      <c r="AB4" s="249"/>
      <c r="AC4" s="249"/>
      <c r="AD4" s="248"/>
      <c r="AE4" s="420"/>
      <c r="AF4" s="420"/>
      <c r="AG4" s="78"/>
      <c r="AH4" s="78" t="s">
        <v>439</v>
      </c>
      <c r="AI4" s="420"/>
      <c r="AJ4" s="420"/>
    </row>
    <row r="5" spans="1:57" ht="15.75" thickTop="1" x14ac:dyDescent="0.25">
      <c r="C5" s="373" t="s">
        <v>436</v>
      </c>
      <c r="R5" s="344" t="s">
        <v>406</v>
      </c>
      <c r="S5" s="345"/>
      <c r="T5" s="345"/>
      <c r="U5" s="345"/>
      <c r="V5" s="345"/>
      <c r="W5" s="345"/>
      <c r="X5" s="345" t="s">
        <v>392</v>
      </c>
      <c r="Y5" s="345"/>
      <c r="Z5" s="345"/>
      <c r="AA5" s="345"/>
      <c r="AB5" t="s">
        <v>396</v>
      </c>
      <c r="AC5" s="333"/>
      <c r="AD5" s="248"/>
      <c r="AE5" s="420" t="s">
        <v>395</v>
      </c>
      <c r="AF5" s="420"/>
      <c r="AG5" s="78"/>
      <c r="AH5" s="420"/>
      <c r="AI5" s="78" t="s">
        <v>440</v>
      </c>
      <c r="AJ5" s="420"/>
    </row>
    <row r="6" spans="1:57" ht="15.75" thickBot="1" x14ac:dyDescent="0.3">
      <c r="B6" t="s">
        <v>415</v>
      </c>
      <c r="D6" s="359"/>
      <c r="E6" s="359"/>
      <c r="F6" s="359"/>
      <c r="G6" s="359"/>
      <c r="H6" s="72"/>
      <c r="I6" s="72"/>
      <c r="AC6" s="248"/>
      <c r="AD6" s="340"/>
      <c r="AM6" s="350"/>
      <c r="AN6" s="354"/>
      <c r="BB6" s="427" t="e" vm="1">
        <v>#VALUE!</v>
      </c>
      <c r="BC6" s="427"/>
      <c r="BD6" s="427"/>
      <c r="BE6" s="427"/>
    </row>
    <row r="7" spans="1:57" ht="16.5" thickTop="1" thickBot="1" x14ac:dyDescent="0.3">
      <c r="B7" t="s">
        <v>416</v>
      </c>
      <c r="D7" s="381"/>
      <c r="E7" s="381"/>
      <c r="F7" s="381"/>
      <c r="G7" s="381"/>
      <c r="H7" s="72" t="s">
        <v>410</v>
      </c>
      <c r="I7" s="72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 t="s">
        <v>414</v>
      </c>
      <c r="X7" s="374"/>
      <c r="Y7" s="375"/>
      <c r="Z7" s="365" t="s">
        <v>401</v>
      </c>
      <c r="AA7" s="366"/>
      <c r="AB7" s="366"/>
      <c r="AC7" s="365"/>
      <c r="AD7" s="366"/>
      <c r="AE7" s="366"/>
      <c r="AF7" s="366"/>
      <c r="AG7" s="366"/>
      <c r="AH7" s="366"/>
      <c r="AI7" s="418">
        <f>IF(AA1=1,1,IF(AA4=1,0,"X"))</f>
        <v>1</v>
      </c>
      <c r="AJ7" s="349"/>
      <c r="AK7" s="349"/>
      <c r="AL7" s="349"/>
      <c r="AM7" s="351"/>
      <c r="AN7" s="413" t="str">
        <f>IF(AI11=1,"&gt;&gt;&gt;","")</f>
        <v>&gt;&gt;&gt;</v>
      </c>
      <c r="AO7" s="355"/>
      <c r="AP7" s="349"/>
      <c r="AQ7" s="349"/>
      <c r="AR7" s="349"/>
      <c r="AS7" s="349"/>
      <c r="BB7" s="427"/>
      <c r="BC7" s="427"/>
      <c r="BD7" s="427"/>
      <c r="BE7" s="427"/>
    </row>
    <row r="8" spans="1:57" ht="16.5" thickTop="1" thickBot="1" x14ac:dyDescent="0.3">
      <c r="D8" s="381"/>
      <c r="E8" s="381"/>
      <c r="F8" s="381"/>
      <c r="G8" s="381"/>
      <c r="H8" s="72"/>
      <c r="I8" s="72"/>
      <c r="Z8" s="334" t="s">
        <v>402</v>
      </c>
      <c r="AA8" s="335"/>
      <c r="AB8" s="335"/>
      <c r="AC8" s="334"/>
      <c r="AD8" s="335"/>
      <c r="AE8" s="335"/>
      <c r="AF8" s="335" t="s">
        <v>392</v>
      </c>
      <c r="AG8" s="335"/>
      <c r="AH8" s="335"/>
      <c r="AI8" s="335"/>
      <c r="AM8" s="352"/>
      <c r="AO8" s="356"/>
      <c r="AS8" s="357"/>
      <c r="BB8" s="427"/>
      <c r="BC8" s="427"/>
      <c r="BD8" s="427"/>
      <c r="BE8" s="427"/>
    </row>
    <row r="9" spans="1:57" ht="16.5" thickTop="1" thickBot="1" x14ac:dyDescent="0.3">
      <c r="H9" s="72"/>
      <c r="I9" s="72"/>
      <c r="M9" s="342" t="s">
        <v>393</v>
      </c>
      <c r="N9" s="180"/>
      <c r="O9" s="180"/>
      <c r="P9" s="180"/>
      <c r="Q9" s="180"/>
      <c r="R9" s="180"/>
      <c r="S9" s="180"/>
      <c r="T9" s="180"/>
      <c r="U9" s="180"/>
      <c r="V9" s="180"/>
      <c r="AM9" s="350"/>
      <c r="AN9" s="353"/>
      <c r="AS9" s="350"/>
      <c r="BB9" s="427"/>
      <c r="BC9" s="427"/>
      <c r="BD9" s="427"/>
      <c r="BE9" s="427"/>
    </row>
    <row r="10" spans="1:57" ht="15.75" thickBot="1" x14ac:dyDescent="0.3">
      <c r="H10" s="358"/>
      <c r="I10" t="s">
        <v>417</v>
      </c>
      <c r="M10" s="343" t="s">
        <v>394</v>
      </c>
      <c r="N10" s="240"/>
      <c r="O10" s="240"/>
      <c r="P10" s="240"/>
      <c r="Q10" s="240"/>
      <c r="R10" s="240"/>
      <c r="S10" s="240" t="s">
        <v>392</v>
      </c>
      <c r="T10" s="240"/>
      <c r="U10" s="240"/>
      <c r="V10" s="240"/>
      <c r="W10" s="249"/>
      <c r="X10" s="249"/>
      <c r="Y10" s="249" t="s">
        <v>395</v>
      </c>
      <c r="AN10" s="347"/>
      <c r="AS10" s="350"/>
      <c r="AZ10" s="499">
        <f>IF(AI11=1,AI7,"")</f>
        <v>1</v>
      </c>
      <c r="BA10" s="500"/>
    </row>
    <row r="11" spans="1:57" ht="16.5" thickTop="1" thickBot="1" x14ac:dyDescent="0.3">
      <c r="A11" s="376" t="s">
        <v>411</v>
      </c>
      <c r="B11" s="378"/>
      <c r="C11" s="10"/>
      <c r="D11" s="10"/>
      <c r="E11" s="376"/>
      <c r="F11" s="377"/>
      <c r="G11" s="359"/>
      <c r="H11" s="360"/>
      <c r="M11" s="373" t="s">
        <v>408</v>
      </c>
      <c r="W11" s="341"/>
      <c r="X11" s="341"/>
      <c r="Y11" s="341"/>
      <c r="Z11" s="367" t="s">
        <v>389</v>
      </c>
      <c r="AA11" s="368"/>
      <c r="AB11" s="368"/>
      <c r="AC11" s="368"/>
      <c r="AD11" s="368"/>
      <c r="AE11" s="368"/>
      <c r="AF11" s="368"/>
      <c r="AG11" s="368"/>
      <c r="AH11" s="414"/>
      <c r="AI11" s="417">
        <v>1</v>
      </c>
      <c r="AJ11" s="346"/>
      <c r="AK11" s="346"/>
      <c r="AL11" s="346"/>
      <c r="AM11" s="346"/>
      <c r="AN11" s="348"/>
      <c r="AS11" s="350"/>
      <c r="AT11" s="249"/>
      <c r="AU11" s="249"/>
      <c r="AV11" s="249"/>
      <c r="AX11" s="1" t="s">
        <v>390</v>
      </c>
      <c r="AZ11" s="501"/>
      <c r="BA11" s="502"/>
    </row>
    <row r="12" spans="1:57" ht="15.75" thickTop="1" x14ac:dyDescent="0.25">
      <c r="A12" s="380" t="s">
        <v>412</v>
      </c>
      <c r="B12" s="10"/>
      <c r="C12" s="10"/>
      <c r="D12" s="379"/>
      <c r="E12" s="10"/>
      <c r="F12" s="10"/>
      <c r="H12" s="358"/>
      <c r="M12" s="342" t="s">
        <v>397</v>
      </c>
      <c r="N12" s="180"/>
      <c r="O12" s="180"/>
      <c r="P12" s="180"/>
      <c r="Q12" s="180"/>
      <c r="R12" s="180"/>
      <c r="S12" s="180"/>
      <c r="T12" s="180"/>
      <c r="U12" s="180"/>
      <c r="V12" s="180"/>
      <c r="Y12" s="19" t="s">
        <v>396</v>
      </c>
      <c r="Z12" s="338" t="s">
        <v>391</v>
      </c>
      <c r="AA12" s="339"/>
      <c r="AB12" s="339"/>
      <c r="AC12" s="339"/>
      <c r="AD12" s="339"/>
      <c r="AE12" s="339"/>
      <c r="AF12" s="339" t="s">
        <v>392</v>
      </c>
      <c r="AG12" s="339"/>
      <c r="AH12" s="339"/>
      <c r="AI12" s="339"/>
      <c r="AN12" s="248"/>
      <c r="AS12" s="358"/>
      <c r="AZ12" s="503">
        <v>1</v>
      </c>
      <c r="BA12" s="504"/>
    </row>
    <row r="13" spans="1:57" ht="15.75" thickBot="1" x14ac:dyDescent="0.3">
      <c r="A13" s="10"/>
      <c r="B13" s="10"/>
      <c r="C13" s="380" t="s">
        <v>413</v>
      </c>
      <c r="D13" s="10"/>
      <c r="E13" s="10"/>
      <c r="F13" s="10"/>
      <c r="H13" s="358"/>
      <c r="I13" t="s">
        <v>417</v>
      </c>
      <c r="M13" s="343" t="s">
        <v>398</v>
      </c>
      <c r="N13" s="240"/>
      <c r="O13" s="240"/>
      <c r="P13" s="240"/>
      <c r="Q13" s="240"/>
      <c r="R13" s="240"/>
      <c r="S13" s="240" t="s">
        <v>392</v>
      </c>
      <c r="T13" s="240"/>
      <c r="U13" s="240"/>
      <c r="V13" s="240"/>
      <c r="AS13" s="358"/>
      <c r="AZ13" s="505"/>
      <c r="BA13" s="506"/>
    </row>
    <row r="14" spans="1:57" ht="15.75" thickBot="1" x14ac:dyDescent="0.3">
      <c r="D14" s="359"/>
      <c r="E14" s="359"/>
      <c r="F14" s="359"/>
      <c r="G14" s="359"/>
      <c r="H14" s="72"/>
      <c r="I14" s="72"/>
      <c r="AN14" s="83"/>
      <c r="AO14" s="364"/>
      <c r="AS14" s="358"/>
    </row>
    <row r="15" spans="1:57" ht="16.5" thickTop="1" thickBot="1" x14ac:dyDescent="0.3">
      <c r="B15" t="s">
        <v>415</v>
      </c>
      <c r="D15" s="381"/>
      <c r="E15" s="381"/>
      <c r="F15" s="381"/>
      <c r="G15" s="381"/>
      <c r="H15" s="72" t="s">
        <v>410</v>
      </c>
      <c r="I15" s="72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 t="s">
        <v>414</v>
      </c>
      <c r="X15" s="374"/>
      <c r="Y15" s="375"/>
      <c r="Z15" s="369" t="s">
        <v>399</v>
      </c>
      <c r="AA15" s="370"/>
      <c r="AB15" s="370"/>
      <c r="AC15" s="369"/>
      <c r="AD15" s="370"/>
      <c r="AE15" s="370"/>
      <c r="AF15" s="370"/>
      <c r="AG15" s="370"/>
      <c r="AH15" s="370"/>
      <c r="AI15" s="419" t="str">
        <f>IF(AI11=0,AZ12,"")</f>
        <v/>
      </c>
      <c r="AJ15" s="359"/>
      <c r="AK15" s="359"/>
      <c r="AL15" s="359"/>
      <c r="AM15" s="359"/>
      <c r="AN15" s="363"/>
      <c r="AO15" s="358"/>
      <c r="AP15" s="359"/>
      <c r="AQ15" s="359"/>
      <c r="AR15" s="359"/>
      <c r="AS15" s="360"/>
    </row>
    <row r="16" spans="1:57" ht="16.5" thickTop="1" thickBot="1" x14ac:dyDescent="0.3">
      <c r="B16" t="s">
        <v>416</v>
      </c>
      <c r="D16" s="381"/>
      <c r="E16" s="381"/>
      <c r="F16" s="381"/>
      <c r="G16" s="381"/>
      <c r="H16" s="72"/>
      <c r="I16" s="72"/>
      <c r="Z16" s="336" t="s">
        <v>400</v>
      </c>
      <c r="AA16" s="337"/>
      <c r="AB16" s="337"/>
      <c r="AC16" s="336"/>
      <c r="AD16" s="337"/>
      <c r="AE16" s="337"/>
      <c r="AF16" s="337" t="s">
        <v>392</v>
      </c>
      <c r="AG16" s="337"/>
      <c r="AH16" s="337"/>
      <c r="AI16" s="337"/>
      <c r="AN16" s="362"/>
      <c r="AO16" s="415" t="str">
        <f>IF(AI11=0,"&lt;&lt;&lt;","")</f>
        <v/>
      </c>
    </row>
    <row r="17" spans="8:41" ht="15.75" thickTop="1" x14ac:dyDescent="0.25">
      <c r="H17" s="72"/>
      <c r="I17" s="72"/>
      <c r="Z17" s="373" t="s">
        <v>407</v>
      </c>
      <c r="AO17" s="361"/>
    </row>
  </sheetData>
  <mergeCells count="3">
    <mergeCell ref="AZ10:BA11"/>
    <mergeCell ref="AZ12:BA13"/>
    <mergeCell ref="BB6:BE9"/>
  </mergeCells>
  <conditionalFormatting sqref="AZ10:BA11">
    <cfRule type="expression" dxfId="3" priority="4" stopIfTrue="1">
      <formula>$AI$11=1</formula>
    </cfRule>
    <cfRule type="expression" priority="5" stopIfTrue="1">
      <formula>$AI$11=0</formula>
    </cfRule>
  </conditionalFormatting>
  <conditionalFormatting sqref="AZ12:BA13">
    <cfRule type="expression" dxfId="2" priority="2">
      <formula>$AI$11=0</formula>
    </cfRule>
    <cfRule type="expression" dxfId="1" priority="3">
      <formula>$AI$11=1</formula>
    </cfRule>
  </conditionalFormatting>
  <conditionalFormatting sqref="BB6:BE9">
    <cfRule type="expression" dxfId="0" priority="1">
      <formula>$AZ$10=1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FE80-B5A2-40A8-B121-E138F90879F3}">
  <dimension ref="C3:AM27"/>
  <sheetViews>
    <sheetView topLeftCell="A6" zoomScale="115" zoomScaleNormal="115" workbookViewId="0">
      <selection activeCell="S29" sqref="S29"/>
    </sheetView>
  </sheetViews>
  <sheetFormatPr defaultColWidth="3.5703125" defaultRowHeight="15" x14ac:dyDescent="0.25"/>
  <cols>
    <col min="30" max="30" width="3.42578125" customWidth="1"/>
  </cols>
  <sheetData>
    <row r="3" spans="3:38" ht="14.25" customHeight="1" x14ac:dyDescent="0.25"/>
    <row r="4" spans="3:38" ht="14.25" customHeight="1" x14ac:dyDescent="0.25"/>
    <row r="5" spans="3:38" ht="14.25" customHeight="1" x14ac:dyDescent="0.25"/>
    <row r="6" spans="3:38" ht="14.25" customHeight="1" x14ac:dyDescent="0.25"/>
    <row r="7" spans="3:38" ht="14.25" customHeight="1" x14ac:dyDescent="0.25"/>
    <row r="12" spans="3:38" ht="15.75" thickBot="1" x14ac:dyDescent="0.3"/>
    <row r="13" spans="3:38" x14ac:dyDescent="0.25">
      <c r="F13" s="390"/>
      <c r="G13" s="391"/>
      <c r="H13" s="391"/>
      <c r="I13" s="391"/>
      <c r="J13" s="391"/>
      <c r="K13" s="391"/>
      <c r="L13" s="391"/>
      <c r="M13" s="391"/>
      <c r="N13" s="408" t="s">
        <v>430</v>
      </c>
      <c r="O13" s="391"/>
      <c r="P13" s="391"/>
      <c r="Q13" s="391"/>
      <c r="R13" s="391"/>
      <c r="S13" s="391"/>
      <c r="T13" s="391"/>
      <c r="U13" s="391"/>
      <c r="V13" s="405"/>
      <c r="W13" s="406" t="s">
        <v>431</v>
      </c>
      <c r="X13" s="391"/>
      <c r="Y13" s="391"/>
      <c r="Z13" s="391"/>
      <c r="AA13" s="391"/>
      <c r="AB13" s="391"/>
      <c r="AC13" s="392"/>
      <c r="AE13" s="407" t="s">
        <v>432</v>
      </c>
      <c r="AF13" s="382"/>
      <c r="AG13" s="382"/>
      <c r="AH13" s="382"/>
      <c r="AI13" s="382"/>
      <c r="AJ13" s="383"/>
    </row>
    <row r="14" spans="3:38" x14ac:dyDescent="0.25">
      <c r="F14" s="393"/>
      <c r="G14" s="400" t="s">
        <v>424</v>
      </c>
      <c r="H14" s="394"/>
      <c r="I14" s="394"/>
      <c r="J14" s="394"/>
      <c r="K14" s="394"/>
      <c r="L14" s="394"/>
      <c r="M14" s="394"/>
      <c r="N14" s="394"/>
      <c r="O14" s="394"/>
      <c r="P14" s="395" t="s">
        <v>421</v>
      </c>
      <c r="Q14" s="394">
        <v>8</v>
      </c>
      <c r="R14" s="394"/>
      <c r="S14" s="412">
        <v>4</v>
      </c>
      <c r="T14" s="394">
        <v>0</v>
      </c>
      <c r="U14" s="394"/>
      <c r="V14" s="394"/>
      <c r="W14" s="394"/>
      <c r="X14" s="395" t="s">
        <v>420</v>
      </c>
      <c r="Y14" s="394"/>
      <c r="Z14" s="394"/>
      <c r="AA14" s="394"/>
      <c r="AB14" s="394">
        <v>0</v>
      </c>
      <c r="AC14" s="396"/>
      <c r="AE14" s="384" t="s">
        <v>426</v>
      </c>
      <c r="AF14" s="8"/>
      <c r="AG14" s="8">
        <v>7</v>
      </c>
      <c r="AH14" s="8" t="s">
        <v>427</v>
      </c>
      <c r="AI14" s="8">
        <v>0</v>
      </c>
      <c r="AJ14" s="385"/>
    </row>
    <row r="15" spans="3:38" x14ac:dyDescent="0.25">
      <c r="F15" s="393"/>
      <c r="G15" s="394"/>
      <c r="H15" s="394"/>
      <c r="I15" s="394"/>
      <c r="J15" s="394"/>
      <c r="K15" s="394"/>
      <c r="L15" s="394"/>
      <c r="M15" s="394"/>
      <c r="N15" s="394"/>
      <c r="O15" s="394"/>
      <c r="P15" s="397"/>
      <c r="Q15" s="404">
        <v>1</v>
      </c>
      <c r="R15" s="397"/>
      <c r="S15" s="397"/>
      <c r="T15" s="397"/>
      <c r="U15" s="394"/>
      <c r="V15" s="394"/>
      <c r="W15" s="394"/>
      <c r="X15" s="397"/>
      <c r="Y15" s="397"/>
      <c r="Z15" s="397"/>
      <c r="AA15" s="397"/>
      <c r="AB15" s="404">
        <v>1</v>
      </c>
      <c r="AC15" s="396"/>
      <c r="AE15" s="384"/>
      <c r="AF15" s="386"/>
      <c r="AG15" s="386"/>
      <c r="AH15" s="386"/>
      <c r="AI15" s="386"/>
      <c r="AJ15" s="385"/>
      <c r="AL15" s="1" t="s">
        <v>422</v>
      </c>
    </row>
    <row r="16" spans="3:38" x14ac:dyDescent="0.25">
      <c r="C16" t="s">
        <v>418</v>
      </c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394"/>
      <c r="AB16" s="394"/>
      <c r="AC16" s="396"/>
      <c r="AE16" s="384"/>
      <c r="AF16" s="8"/>
      <c r="AG16" s="8"/>
      <c r="AH16" s="8"/>
      <c r="AI16" s="8"/>
      <c r="AJ16" s="385"/>
    </row>
    <row r="17" spans="4:39" x14ac:dyDescent="0.25">
      <c r="D17" t="s">
        <v>428</v>
      </c>
      <c r="F17" s="393"/>
      <c r="G17" s="394"/>
      <c r="H17" s="398" t="s">
        <v>419</v>
      </c>
      <c r="I17" s="398"/>
      <c r="J17" s="398"/>
      <c r="K17" s="398"/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  <c r="Z17" s="394"/>
      <c r="AA17" s="394"/>
      <c r="AB17" s="394"/>
      <c r="AC17" s="396"/>
      <c r="AE17" s="384"/>
      <c r="AF17" s="8"/>
      <c r="AG17" s="8"/>
      <c r="AH17" s="8"/>
      <c r="AI17" s="8"/>
      <c r="AJ17" s="385"/>
      <c r="AM17" t="s">
        <v>429</v>
      </c>
    </row>
    <row r="18" spans="4:39" x14ac:dyDescent="0.25">
      <c r="F18" s="393"/>
      <c r="G18" s="394"/>
      <c r="H18" s="399" t="s">
        <v>419</v>
      </c>
      <c r="I18" s="399"/>
      <c r="J18" s="399"/>
      <c r="K18" s="399"/>
      <c r="L18" s="394"/>
      <c r="M18" s="394"/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6"/>
      <c r="AE18" s="384"/>
      <c r="AF18" s="8"/>
      <c r="AG18" s="8"/>
      <c r="AH18" s="8"/>
      <c r="AI18" s="8"/>
      <c r="AJ18" s="385"/>
    </row>
    <row r="19" spans="4:39" x14ac:dyDescent="0.25">
      <c r="F19" s="393"/>
      <c r="G19" s="394"/>
      <c r="H19" s="398" t="s">
        <v>419</v>
      </c>
      <c r="I19" s="398"/>
      <c r="J19" s="398"/>
      <c r="K19" s="398"/>
      <c r="L19" s="394"/>
      <c r="M19" s="394"/>
      <c r="N19" s="394"/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  <c r="Z19" s="394"/>
      <c r="AA19" s="394"/>
      <c r="AB19" s="394"/>
      <c r="AC19" s="396"/>
      <c r="AE19" s="409"/>
      <c r="AF19" s="227"/>
      <c r="AG19" s="227"/>
      <c r="AH19" s="227"/>
      <c r="AI19" s="227"/>
      <c r="AJ19" s="410"/>
    </row>
    <row r="20" spans="4:39" ht="15.75" thickBot="1" x14ac:dyDescent="0.3">
      <c r="F20" s="393"/>
      <c r="G20" s="394"/>
      <c r="H20" s="399" t="s">
        <v>419</v>
      </c>
      <c r="I20" s="399"/>
      <c r="J20" s="399"/>
      <c r="K20" s="399"/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400" t="s">
        <v>434</v>
      </c>
      <c r="X20" s="394"/>
      <c r="Y20" s="394"/>
      <c r="Z20" s="394"/>
      <c r="AA20" s="394"/>
      <c r="AB20" s="394"/>
      <c r="AC20" s="396"/>
    </row>
    <row r="21" spans="4:39" x14ac:dyDescent="0.25">
      <c r="F21" s="393"/>
      <c r="G21" s="394"/>
      <c r="H21" s="398" t="s">
        <v>419</v>
      </c>
      <c r="I21" s="398"/>
      <c r="J21" s="398"/>
      <c r="K21" s="398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411"/>
      <c r="Y21" s="411"/>
      <c r="Z21" s="411"/>
      <c r="AA21" s="394"/>
      <c r="AB21" s="394"/>
      <c r="AC21" s="396"/>
      <c r="AE21" s="407"/>
      <c r="AF21" s="382"/>
      <c r="AG21" s="382"/>
      <c r="AH21" s="382"/>
      <c r="AI21" s="382"/>
      <c r="AJ21" s="383"/>
    </row>
    <row r="22" spans="4:39" x14ac:dyDescent="0.25">
      <c r="F22" s="393"/>
      <c r="G22" s="394"/>
      <c r="H22" s="399"/>
      <c r="I22" s="399"/>
      <c r="J22" s="399"/>
      <c r="K22" s="399"/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6"/>
      <c r="AE22" s="384" t="s">
        <v>433</v>
      </c>
      <c r="AF22" s="8"/>
      <c r="AG22" s="8"/>
      <c r="AH22" s="8"/>
      <c r="AI22" s="8"/>
      <c r="AJ22" s="385"/>
      <c r="AL22" s="1" t="s">
        <v>423</v>
      </c>
    </row>
    <row r="23" spans="4:39" x14ac:dyDescent="0.25">
      <c r="F23" s="393"/>
      <c r="G23" s="394"/>
      <c r="H23" s="399"/>
      <c r="I23" s="399"/>
      <c r="J23" s="399"/>
      <c r="K23" s="399"/>
      <c r="L23" s="394"/>
      <c r="M23" s="394"/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  <c r="Z23" s="394"/>
      <c r="AA23" s="394"/>
      <c r="AB23" s="394"/>
      <c r="AC23" s="396"/>
      <c r="AE23" s="384"/>
      <c r="AF23" s="8"/>
      <c r="AG23" s="8"/>
      <c r="AH23" s="8"/>
      <c r="AI23" s="8"/>
      <c r="AJ23" s="385"/>
    </row>
    <row r="24" spans="4:39" x14ac:dyDescent="0.25">
      <c r="F24" s="393"/>
      <c r="G24" s="394"/>
      <c r="H24" s="398"/>
      <c r="I24" s="398"/>
      <c r="J24" s="398"/>
      <c r="K24" s="398"/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  <c r="Z24" s="394"/>
      <c r="AA24" s="394"/>
      <c r="AB24" s="394"/>
      <c r="AC24" s="396"/>
      <c r="AE24" s="384"/>
      <c r="AF24" s="8"/>
      <c r="AG24" s="8"/>
      <c r="AH24" s="8"/>
      <c r="AI24" s="8"/>
      <c r="AJ24" s="385"/>
      <c r="AM24" t="s">
        <v>429</v>
      </c>
    </row>
    <row r="25" spans="4:39" x14ac:dyDescent="0.25">
      <c r="F25" s="393"/>
      <c r="G25" s="394"/>
      <c r="H25" s="394"/>
      <c r="I25" s="394"/>
      <c r="J25" s="394"/>
      <c r="K25" s="394"/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  <c r="Z25" s="394"/>
      <c r="AA25" s="394"/>
      <c r="AB25" s="394"/>
      <c r="AC25" s="396"/>
      <c r="AE25" s="384"/>
      <c r="AF25" s="8"/>
      <c r="AG25" s="8"/>
      <c r="AH25" s="8"/>
      <c r="AI25" s="8"/>
      <c r="AJ25" s="385"/>
    </row>
    <row r="26" spans="4:39" x14ac:dyDescent="0.25">
      <c r="F26" s="393"/>
      <c r="G26" s="394"/>
      <c r="H26" s="394"/>
      <c r="I26" s="394"/>
      <c r="J26" s="394"/>
      <c r="K26" s="394"/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400"/>
      <c r="Y26" s="394"/>
      <c r="Z26" s="394"/>
      <c r="AA26" s="394"/>
      <c r="AB26" s="394"/>
      <c r="AC26" s="396"/>
      <c r="AE26" s="384"/>
      <c r="AF26" s="8"/>
      <c r="AG26" s="229" t="s">
        <v>425</v>
      </c>
      <c r="AH26" s="8"/>
      <c r="AI26" s="8"/>
      <c r="AJ26" s="385"/>
    </row>
    <row r="27" spans="4:39" ht="15.75" thickBot="1" x14ac:dyDescent="0.3">
      <c r="F27" s="401"/>
      <c r="G27" s="402"/>
      <c r="H27" s="402"/>
      <c r="I27" s="402"/>
      <c r="J27" s="402"/>
      <c r="K27" s="402"/>
      <c r="L27" s="402"/>
      <c r="M27" s="402"/>
      <c r="N27" s="402"/>
      <c r="O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3"/>
      <c r="AE27" s="387"/>
      <c r="AF27" s="388"/>
      <c r="AG27" s="388"/>
      <c r="AH27" s="388"/>
      <c r="AI27" s="388"/>
      <c r="AJ27" s="38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9E15-D1F2-4C0D-B7BD-8CB85D774DFC}">
  <sheetPr codeName="Sheet2"/>
  <dimension ref="A2:R6"/>
  <sheetViews>
    <sheetView zoomScale="205" zoomScaleNormal="205" workbookViewId="0">
      <selection activeCell="E11" sqref="E11"/>
    </sheetView>
  </sheetViews>
  <sheetFormatPr defaultRowHeight="15" x14ac:dyDescent="0.25"/>
  <cols>
    <col min="2" max="2" width="13.28515625" customWidth="1"/>
    <col min="3" max="6" width="4.5703125" style="3" customWidth="1"/>
    <col min="7" max="9" width="3.140625" style="3" customWidth="1"/>
    <col min="10" max="10" width="3.42578125" style="3" customWidth="1"/>
    <col min="11" max="11" width="9.28515625" bestFit="1" customWidth="1"/>
    <col min="14" max="14" width="9.5703125" customWidth="1"/>
    <col min="15" max="15" width="9.28515625" bestFit="1" customWidth="1"/>
    <col min="16" max="16" width="10.42578125" bestFit="1" customWidth="1"/>
    <col min="17" max="17" width="2" customWidth="1"/>
    <col min="18" max="18" width="2" bestFit="1" customWidth="1"/>
  </cols>
  <sheetData>
    <row r="2" spans="1:18" x14ac:dyDescent="0.25">
      <c r="B2" s="5" t="s">
        <v>273</v>
      </c>
      <c r="C2" s="4"/>
      <c r="D2" s="4" t="s">
        <v>274</v>
      </c>
      <c r="E2" s="4"/>
      <c r="F2" s="4"/>
      <c r="G2" s="6"/>
      <c r="H2" s="6" t="s">
        <v>275</v>
      </c>
      <c r="I2" s="6"/>
      <c r="J2" s="6"/>
      <c r="K2" s="6"/>
      <c r="L2" s="6" t="s">
        <v>276</v>
      </c>
      <c r="M2" s="6"/>
      <c r="N2" s="6"/>
      <c r="O2" s="8"/>
      <c r="P2" s="8" t="s">
        <v>277</v>
      </c>
      <c r="Q2" s="8"/>
      <c r="R2" s="8"/>
    </row>
    <row r="3" spans="1:18" x14ac:dyDescent="0.25">
      <c r="A3" t="s">
        <v>278</v>
      </c>
      <c r="B3" s="5" t="s">
        <v>279</v>
      </c>
      <c r="C3" s="4" t="str" cm="1">
        <f t="array" ref="C3:F3">_xlfn.TEXTSPLIT(B3,".")</f>
        <v>255</v>
      </c>
      <c r="D3" s="4" t="str">
        <v>255</v>
      </c>
      <c r="E3" s="4" t="str">
        <v>255</v>
      </c>
      <c r="F3" s="4" t="str">
        <v>0</v>
      </c>
      <c r="G3" s="6" t="str">
        <f>DEC2HEX(C3)</f>
        <v>FF</v>
      </c>
      <c r="H3" s="6" t="str">
        <f t="shared" ref="H3" si="0">DEC2HEX(D3)</f>
        <v>FF</v>
      </c>
      <c r="I3" s="6" t="str">
        <f t="shared" ref="I3" si="1">DEC2HEX(E3)</f>
        <v>FF</v>
      </c>
      <c r="J3" s="6" t="str">
        <f t="shared" ref="J3" si="2">DEC2HEX(F3)</f>
        <v>0</v>
      </c>
      <c r="K3" s="7" t="str" cm="1">
        <f t="array" ref="K3">MyHex2Bin(G3,8)</f>
        <v>11111111</v>
      </c>
      <c r="L3" s="7" t="str" cm="1">
        <f t="array" ref="L3">MyHex2Bin(H3,8)</f>
        <v>11111111</v>
      </c>
      <c r="M3" s="7" t="str" cm="1">
        <f t="array" ref="M3">MyHex2Bin(I3,8)</f>
        <v>11111111</v>
      </c>
      <c r="N3" s="7" t="str" cm="1">
        <f t="array" ref="N3">MyHex2Bin(J3,8)</f>
        <v>00000000</v>
      </c>
      <c r="O3" s="8"/>
      <c r="P3" s="8"/>
      <c r="Q3" s="8"/>
      <c r="R3" s="8"/>
    </row>
    <row r="4" spans="1:18" x14ac:dyDescent="0.25">
      <c r="A4" t="s">
        <v>280</v>
      </c>
      <c r="B4" s="5" t="s">
        <v>281</v>
      </c>
      <c r="C4" s="4" t="str" cm="1">
        <f t="array" ref="C4:F4">_xlfn.TEXTSPLIT(B4,".")</f>
        <v>192</v>
      </c>
      <c r="D4" s="4" t="str">
        <v>168</v>
      </c>
      <c r="E4" s="4" t="str">
        <v>33</v>
      </c>
      <c r="F4" s="4" t="str">
        <v>8</v>
      </c>
      <c r="G4" s="6" t="str">
        <f>DEC2HEX(C4)</f>
        <v>C0</v>
      </c>
      <c r="H4" s="6" t="str">
        <f t="shared" ref="H4:J5" si="3">DEC2HEX(D4)</f>
        <v>A8</v>
      </c>
      <c r="I4" s="6" t="str">
        <f t="shared" si="3"/>
        <v>21</v>
      </c>
      <c r="J4" s="6" t="str">
        <f t="shared" si="3"/>
        <v>8</v>
      </c>
      <c r="K4" s="6" t="str" cm="1">
        <f t="array" ref="K4">MyHex2Bin(G4,8)</f>
        <v>11000000</v>
      </c>
      <c r="L4" s="6" t="str" cm="1">
        <f t="array" ref="L4">MyHex2Bin(H4,8)</f>
        <v>10101000</v>
      </c>
      <c r="M4" s="6" t="str" cm="1">
        <f t="array" ref="M4">MyHex2Bin(I4,8)</f>
        <v>00100001</v>
      </c>
      <c r="N4" s="6" t="str" cm="1">
        <f t="array" ref="N4">MyHex2Bin(J4,8)</f>
        <v>00001000</v>
      </c>
      <c r="O4" s="9">
        <f>_xlfn.BITAND(K4,K$3)</f>
        <v>10586304</v>
      </c>
      <c r="P4" s="9">
        <f t="shared" ref="P4:R4" si="4">_xlfn.BITAND(L4,L$3)</f>
        <v>8912896</v>
      </c>
      <c r="Q4" s="9">
        <f t="shared" si="4"/>
        <v>98945</v>
      </c>
      <c r="R4" s="9">
        <f t="shared" si="4"/>
        <v>0</v>
      </c>
    </row>
    <row r="5" spans="1:18" x14ac:dyDescent="0.25">
      <c r="A5" t="s">
        <v>282</v>
      </c>
      <c r="B5" s="5" t="s">
        <v>283</v>
      </c>
      <c r="C5" s="4" t="str" cm="1">
        <f t="array" ref="C5:F5">_xlfn.TEXTSPLIT(B5,".")</f>
        <v>192</v>
      </c>
      <c r="D5" s="4" t="str">
        <v>168</v>
      </c>
      <c r="E5" s="4" t="str">
        <v>33</v>
      </c>
      <c r="F5" s="4" t="str">
        <v>212</v>
      </c>
      <c r="G5" s="6" t="str">
        <f>DEC2HEX(C5)</f>
        <v>C0</v>
      </c>
      <c r="H5" s="6" t="str">
        <f t="shared" si="3"/>
        <v>A8</v>
      </c>
      <c r="I5" s="6" t="str">
        <f t="shared" si="3"/>
        <v>21</v>
      </c>
      <c r="J5" s="6" t="str">
        <f t="shared" si="3"/>
        <v>D4</v>
      </c>
      <c r="K5" s="6" t="str" cm="1">
        <f t="array" ref="K5">MyHex2Bin(G5,8)</f>
        <v>11000000</v>
      </c>
      <c r="L5" s="6" t="str" cm="1">
        <f t="array" ref="L5">MyHex2Bin(H5,8)</f>
        <v>10101000</v>
      </c>
      <c r="M5" s="6" t="str" cm="1">
        <f t="array" ref="M5">MyHex2Bin(I5,8)</f>
        <v>00100001</v>
      </c>
      <c r="N5" s="6" t="str" cm="1">
        <f t="array" ref="N5">MyHex2Bin(J5,8)</f>
        <v>11010100</v>
      </c>
      <c r="O5" s="9">
        <f>_xlfn.BITAND(K5,K$3)</f>
        <v>10586304</v>
      </c>
      <c r="P5" s="9">
        <f t="shared" ref="P5" si="5">_xlfn.BITAND(L5,L$3)</f>
        <v>8912896</v>
      </c>
      <c r="Q5" s="9">
        <f t="shared" ref="Q5" si="6">_xlfn.BITAND(M5,M$3)</f>
        <v>98945</v>
      </c>
      <c r="R5" s="9">
        <f t="shared" ref="R5" si="7">_xlfn.BITAND(N5,N$3)</f>
        <v>0</v>
      </c>
    </row>
    <row r="6" spans="1:18" x14ac:dyDescent="0.25">
      <c r="C6"/>
      <c r="D6"/>
      <c r="E6"/>
      <c r="F6"/>
      <c r="G6"/>
      <c r="H6"/>
      <c r="I6"/>
      <c r="J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D2804-884A-45D2-ACCF-901CFA93A6B7}">
  <sheetPr codeName="Sheet3"/>
  <dimension ref="A1:I6"/>
  <sheetViews>
    <sheetView zoomScale="160" zoomScaleNormal="160" workbookViewId="0">
      <selection activeCell="J6" sqref="J6"/>
    </sheetView>
  </sheetViews>
  <sheetFormatPr defaultColWidth="8" defaultRowHeight="34.5" customHeight="1" x14ac:dyDescent="0.25"/>
  <sheetData>
    <row r="1" spans="1:9" ht="34.5" customHeight="1" x14ac:dyDescent="0.5">
      <c r="A1" s="13" t="s">
        <v>284</v>
      </c>
      <c r="C1" s="9" t="s">
        <v>285</v>
      </c>
      <c r="D1" s="14" t="s">
        <v>286</v>
      </c>
      <c r="H1" s="15">
        <v>1</v>
      </c>
      <c r="I1" s="14"/>
    </row>
    <row r="2" spans="1:9" ht="34.5" customHeight="1" x14ac:dyDescent="0.45">
      <c r="B2" s="11" t="s">
        <v>287</v>
      </c>
      <c r="D2" s="12" t="s">
        <v>288</v>
      </c>
      <c r="G2" s="18">
        <v>1</v>
      </c>
      <c r="I2" s="16">
        <v>0</v>
      </c>
    </row>
    <row r="3" spans="1:9" ht="34.5" customHeight="1" x14ac:dyDescent="0.45">
      <c r="C3" s="10" t="s">
        <v>289</v>
      </c>
      <c r="H3" s="17">
        <v>0</v>
      </c>
    </row>
    <row r="4" spans="1:9" ht="34.5" customHeight="1" x14ac:dyDescent="0.55000000000000004">
      <c r="F4" s="19" t="s">
        <v>290</v>
      </c>
      <c r="G4" s="507" t="str">
        <f>I2 &amp; H3 &amp; G2 &amp; H1</f>
        <v>0011</v>
      </c>
      <c r="H4" s="507"/>
      <c r="I4" s="507"/>
    </row>
    <row r="5" spans="1:9" ht="34.5" customHeight="1" x14ac:dyDescent="0.55000000000000004">
      <c r="F5" s="20" t="s">
        <v>291</v>
      </c>
      <c r="G5" s="508" t="s">
        <v>292</v>
      </c>
      <c r="H5" s="507"/>
      <c r="I5" s="507"/>
    </row>
    <row r="6" spans="1:9" ht="34.5" customHeight="1" x14ac:dyDescent="0.55000000000000004">
      <c r="F6" s="21" t="s">
        <v>293</v>
      </c>
      <c r="G6" s="508" t="str">
        <f>TEXT(_xlfn.BITAND(G4,G5), "0000")</f>
        <v>0010</v>
      </c>
      <c r="H6" s="507"/>
      <c r="I6" s="507"/>
    </row>
  </sheetData>
  <mergeCells count="3">
    <mergeCell ref="G4:I4"/>
    <mergeCell ref="G5:I5"/>
    <mergeCell ref="G6:I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Green Sheet</vt:lpstr>
      <vt:lpstr>RAM</vt:lpstr>
      <vt:lpstr>ASM 2 MachineCode</vt:lpstr>
      <vt:lpstr>DataPath &amp; Decoder</vt:lpstr>
      <vt:lpstr>GPIO Pín</vt:lpstr>
      <vt:lpstr>Interrupts</vt:lpstr>
      <vt:lpstr>network</vt:lpstr>
      <vt:lpstr>game map location code</vt:lpstr>
      <vt:lpstr>asm_des</vt:lpstr>
      <vt:lpstr>asm_imm</vt:lpstr>
      <vt:lpstr>asm_operator</vt:lpstr>
      <vt:lpstr>asm_src</vt:lpstr>
      <vt:lpstr>COL_FUNCT3</vt:lpstr>
      <vt:lpstr>COL_FUNCT7</vt:lpstr>
      <vt:lpstr>COL_OPCODE</vt:lpstr>
      <vt:lpstr>funct3</vt:lpstr>
      <vt:lpstr>IsBtype</vt:lpstr>
      <vt:lpstr>IsItype</vt:lpstr>
      <vt:lpstr>IsJtype</vt:lpstr>
      <vt:lpstr>IsLoadIns</vt:lpstr>
      <vt:lpstr>IsRBtype</vt:lpstr>
      <vt:lpstr>IsRtype</vt:lpstr>
      <vt:lpstr>IsStype</vt:lpstr>
      <vt:lpstr>IsUtype</vt:lpstr>
      <vt:lpstr>operator</vt:lpstr>
      <vt:lpstr>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Duc Tien</dc:creator>
  <cp:keywords/>
  <dc:description/>
  <cp:lastModifiedBy>Nguyễn Đức Tiến</cp:lastModifiedBy>
  <cp:revision/>
  <dcterms:created xsi:type="dcterms:W3CDTF">2024-09-20T00:52:41Z</dcterms:created>
  <dcterms:modified xsi:type="dcterms:W3CDTF">2025-03-28T04:00:13Z</dcterms:modified>
  <cp:category/>
  <cp:contentStatus/>
</cp:coreProperties>
</file>