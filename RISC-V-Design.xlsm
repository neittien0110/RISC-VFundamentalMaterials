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persons/person.xml" ContentType="application/vnd.ms-excel.person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husteduvn-my.sharepoint.com/personal/tien_nguyenduc_hust_edu_vn/Documents/BaiGiang/CA/"/>
    </mc:Choice>
  </mc:AlternateContent>
  <xr:revisionPtr revIDLastSave="2517" documentId="8_{B7919D57-B53E-4680-95CF-759FB0902C89}" xr6:coauthVersionLast="47" xr6:coauthVersionMax="47" xr10:uidLastSave="{F40B54C6-CA99-4C0B-96D9-EB599D2728D6}"/>
  <bookViews>
    <workbookView xWindow="-120" yWindow="-120" windowWidth="24240" windowHeight="13140" activeTab="1" xr2:uid="{C18B773F-FABB-47E2-A8F8-5CF4C9766B40}"/>
  </bookViews>
  <sheets>
    <sheet name="Green Sheet" sheetId="4" r:id="rId1"/>
    <sheet name="ASM 2 MachineCode" sheetId="1" r:id="rId2"/>
    <sheet name="network" sheetId="2" r:id="rId3"/>
    <sheet name="Sheet3" sheetId="3" r:id="rId4"/>
  </sheets>
  <functionGroups builtInGroupCount="19"/>
  <definedNames>
    <definedName name="_xleta.NA" hidden="1" xlm="1">#NAME?</definedName>
    <definedName name="_xleta.T" hidden="1" xlm="1">#NAME?</definedName>
    <definedName name="asm_des">'ASM 2 MachineCode'!$R$4</definedName>
    <definedName name="asm_imm">'ASM 2 MachineCode'!$V$4</definedName>
    <definedName name="asm_operator">'ASM 2 MachineCode'!$O$4</definedName>
    <definedName name="asm_src">'ASM 2 MachineCode'!$T$4</definedName>
    <definedName name="COL_FUNCT3">'Green Sheet'!$K$1</definedName>
    <definedName name="COL_FUNCT7">'Green Sheet'!$J$1</definedName>
    <definedName name="COL_OPCODE">'Green Sheet'!$I$1</definedName>
    <definedName name="operator">'ASM 2 MachineCode'!$O$4</definedName>
    <definedName name="rd">'ASM 2 MachineCode'!$R$4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J3" i="1" l="1"/>
  <c r="AF3" i="1"/>
  <c r="AB3" i="1"/>
  <c r="Y56" i="1" a="1"/>
  <c r="Y56" i="1" s="1"/>
  <c r="AG22" i="1" a="1"/>
  <c r="AG22" i="1" s="1"/>
  <c r="AG39" i="1" a="1"/>
  <c r="AG39" i="1" s="1"/>
  <c r="AG56" i="1" a="1"/>
  <c r="AG56" i="1" s="1"/>
  <c r="AG73" i="1" a="1"/>
  <c r="AG73" i="1" s="1"/>
  <c r="Y73" i="1" a="1"/>
  <c r="Y73" i="1" s="1"/>
  <c r="H84" i="1"/>
  <c r="AB84" i="1"/>
  <c r="AB85" i="1" s="1"/>
  <c r="AB86" i="1" s="1" a="1"/>
  <c r="AB86" i="1" s="1"/>
  <c r="AG84" i="1"/>
  <c r="H85" i="1" s="1" a="1"/>
  <c r="H85" i="1" s="1"/>
  <c r="H86" i="1" s="1" a="1"/>
  <c r="H86" i="1" s="1"/>
  <c r="Y84" i="1"/>
  <c r="Y85" i="1" s="1"/>
  <c r="Y86" i="1" s="1" a="1"/>
  <c r="Y86" i="1" s="1"/>
  <c r="T84" i="1"/>
  <c r="T85" i="1" s="1"/>
  <c r="T86" i="1" s="1" a="1"/>
  <c r="O84" i="1"/>
  <c r="O85" i="1" s="1"/>
  <c r="O86" i="1" s="1" a="1"/>
  <c r="H82" i="1" a="1"/>
  <c r="H82" i="1" s="1"/>
  <c r="T71" i="1"/>
  <c r="O71" i="1"/>
  <c r="AB4" i="1" a="1"/>
  <c r="AB67" i="1" a="1"/>
  <c r="AB4" i="1" l="1"/>
  <c r="T86" i="1"/>
  <c r="T87" i="1" s="1"/>
  <c r="X87" i="1"/>
  <c r="P87" i="1"/>
  <c r="O86" i="1"/>
  <c r="AB67" i="1"/>
  <c r="AF73" i="1"/>
  <c r="AB71" i="1"/>
  <c r="H71" i="1"/>
  <c r="AG71" i="1"/>
  <c r="Y71" i="1"/>
  <c r="Y72" i="1" s="1"/>
  <c r="T72" i="1"/>
  <c r="T73" i="1" s="1" a="1"/>
  <c r="O72" i="1"/>
  <c r="O73" i="1" s="1" a="1"/>
  <c r="H69" i="1" a="1"/>
  <c r="H69" i="1" s="1"/>
  <c r="H20" i="1"/>
  <c r="AL16" i="1"/>
  <c r="AG16" i="1"/>
  <c r="AG20" i="1"/>
  <c r="AB20" i="1"/>
  <c r="AB21" i="1" s="1"/>
  <c r="AB22" i="1" s="1" a="1"/>
  <c r="H18" i="1" a="1"/>
  <c r="H18" i="1" s="1"/>
  <c r="AD16" i="1"/>
  <c r="AD32" i="1"/>
  <c r="H37" i="1"/>
  <c r="AB37" i="1"/>
  <c r="AB38" i="1" s="1"/>
  <c r="AB39" i="1" s="1" a="1"/>
  <c r="AB39" i="1" s="1"/>
  <c r="AB40" i="1" s="1"/>
  <c r="AG37" i="1"/>
  <c r="H35" i="1" a="1"/>
  <c r="H35" i="1" s="1"/>
  <c r="B34" i="1"/>
  <c r="H52" i="1" a="1"/>
  <c r="H52" i="1" s="1"/>
  <c r="H5" i="1" a="1"/>
  <c r="H5" i="1" s="1"/>
  <c r="T17" i="1" a="1"/>
  <c r="H30" i="1" a="1"/>
  <c r="AA49" i="1" a="1"/>
  <c r="H47" i="1" a="1"/>
  <c r="H9" i="1" a="1"/>
  <c r="S33" i="1" a="1"/>
  <c r="H87" i="1" l="1"/>
  <c r="AB87" i="1"/>
  <c r="L87" i="1"/>
  <c r="H73" i="1"/>
  <c r="AD73" i="1"/>
  <c r="K73" i="1"/>
  <c r="AE73" i="1"/>
  <c r="AC73" i="1"/>
  <c r="N73" i="1"/>
  <c r="J73" i="1"/>
  <c r="AJ66" i="1"/>
  <c r="AB66" i="1"/>
  <c r="AB73" i="1"/>
  <c r="M73" i="1"/>
  <c r="I73" i="1"/>
  <c r="AF66" i="1"/>
  <c r="L73" i="1"/>
  <c r="T73" i="1"/>
  <c r="T74" i="1" s="1"/>
  <c r="X74" i="1"/>
  <c r="P74" i="1"/>
  <c r="O73" i="1"/>
  <c r="AA22" i="1"/>
  <c r="M22" i="1"/>
  <c r="Q22" i="1"/>
  <c r="U22" i="1"/>
  <c r="Y22" i="1"/>
  <c r="L22" i="1"/>
  <c r="P22" i="1"/>
  <c r="T22" i="1"/>
  <c r="X22" i="1"/>
  <c r="J22" i="1"/>
  <c r="N22" i="1"/>
  <c r="R22" i="1"/>
  <c r="V22" i="1"/>
  <c r="Z22" i="1"/>
  <c r="K22" i="1"/>
  <c r="O22" i="1"/>
  <c r="S22" i="1"/>
  <c r="W22" i="1"/>
  <c r="I22" i="1"/>
  <c r="T17" i="1"/>
  <c r="H22" i="1" s="1"/>
  <c r="AB22" i="1"/>
  <c r="AB23" i="1" s="1"/>
  <c r="AA39" i="1"/>
  <c r="X39" i="1"/>
  <c r="S39" i="1"/>
  <c r="K39" i="1"/>
  <c r="O39" i="1"/>
  <c r="U39" i="1"/>
  <c r="Y39" i="1"/>
  <c r="P39" i="1"/>
  <c r="L39" i="1"/>
  <c r="J39" i="1"/>
  <c r="V39" i="1"/>
  <c r="Z39" i="1"/>
  <c r="Q39" i="1"/>
  <c r="M39" i="1"/>
  <c r="I39" i="1"/>
  <c r="W39" i="1"/>
  <c r="T39" i="1"/>
  <c r="R39" i="1"/>
  <c r="N39" i="1"/>
  <c r="S33" i="1"/>
  <c r="H30" i="1"/>
  <c r="AA49" i="1"/>
  <c r="H47" i="1"/>
  <c r="H9" i="1"/>
  <c r="C31" i="1" a="1"/>
  <c r="D49" i="1" a="1"/>
  <c r="D32" i="1" a="1"/>
  <c r="L74" i="1" l="1"/>
  <c r="AB74" i="1"/>
  <c r="H74" i="1"/>
  <c r="P40" i="1"/>
  <c r="T23" i="1"/>
  <c r="H23" i="1"/>
  <c r="X23" i="1"/>
  <c r="L23" i="1"/>
  <c r="P23" i="1"/>
  <c r="D32" i="1"/>
  <c r="X40" i="1"/>
  <c r="H39" i="1"/>
  <c r="H40" i="1" s="1"/>
  <c r="T40" i="1"/>
  <c r="L40" i="1"/>
  <c r="C31" i="1"/>
  <c r="AJ32" i="1" s="1"/>
  <c r="D49" i="1"/>
  <c r="B51" i="1"/>
  <c r="C48" i="1" a="1"/>
  <c r="C33" i="1" l="1"/>
  <c r="C34" i="1" s="1"/>
  <c r="C48" i="1"/>
  <c r="C50" i="1" s="1"/>
  <c r="Y54" i="1"/>
  <c r="H54" i="1"/>
  <c r="AG54" i="1"/>
  <c r="AB54" i="1"/>
  <c r="T54" i="1"/>
  <c r="O54" i="1"/>
  <c r="O55" i="1" s="1"/>
  <c r="O56" i="1" s="1" a="1"/>
  <c r="O56" i="1" s="1"/>
  <c r="H34" i="1" a="1"/>
  <c r="H34" i="1" l="1"/>
  <c r="C51" i="1"/>
  <c r="AF56" i="1"/>
  <c r="J56" i="1"/>
  <c r="AE56" i="1"/>
  <c r="AB56" i="1"/>
  <c r="M56" i="1"/>
  <c r="AD56" i="1"/>
  <c r="K56" i="1"/>
  <c r="N56" i="1"/>
  <c r="I56" i="1"/>
  <c r="Y55" i="1"/>
  <c r="T55" i="1"/>
  <c r="T56" i="1" s="1" a="1"/>
  <c r="T56" i="1" s="1"/>
  <c r="U3" i="4" a="1"/>
  <c r="U3" i="4" s="1"/>
  <c r="S3" i="4" a="1"/>
  <c r="S3" i="4" s="1"/>
  <c r="R3" i="4" a="1"/>
  <c r="R3" i="4" s="1"/>
  <c r="P3" i="4" a="1"/>
  <c r="P3" i="4" s="1"/>
  <c r="T3" i="4" a="1"/>
  <c r="T3" i="4" s="1"/>
  <c r="Q3" i="4" a="1"/>
  <c r="Q3" i="4" s="1"/>
  <c r="H51" i="1" a="1"/>
  <c r="H51" i="1" l="1"/>
  <c r="H56" i="1"/>
  <c r="AA48" i="1"/>
  <c r="AB48" i="1"/>
  <c r="AF48" i="1"/>
  <c r="AJ48" i="1"/>
  <c r="L56" i="1"/>
  <c r="L57" i="1" s="1"/>
  <c r="AC56" i="1"/>
  <c r="AB57" i="1" s="1"/>
  <c r="P57" i="1"/>
  <c r="H57" i="1"/>
  <c r="K3" i="4"/>
  <c r="K4" i="4"/>
  <c r="K5" i="4"/>
  <c r="K6" i="4"/>
  <c r="K7" i="4"/>
  <c r="K8" i="4"/>
  <c r="K9" i="4"/>
  <c r="K10" i="4"/>
  <c r="K11" i="4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K25" i="4"/>
  <c r="K26" i="4"/>
  <c r="K27" i="4"/>
  <c r="K28" i="4"/>
  <c r="K29" i="4"/>
  <c r="K30" i="4"/>
  <c r="K31" i="4"/>
  <c r="K32" i="4"/>
  <c r="K33" i="4"/>
  <c r="K34" i="4"/>
  <c r="K35" i="4"/>
  <c r="K36" i="4"/>
  <c r="K37" i="4"/>
  <c r="K38" i="4"/>
  <c r="K39" i="4"/>
  <c r="K40" i="4"/>
  <c r="K41" i="4"/>
  <c r="K42" i="4"/>
  <c r="K43" i="4"/>
  <c r="K44" i="4"/>
  <c r="K45" i="4"/>
  <c r="K46" i="4"/>
  <c r="K47" i="4"/>
  <c r="K48" i="4"/>
  <c r="K49" i="4"/>
  <c r="K50" i="4"/>
  <c r="K51" i="4"/>
  <c r="J3" i="4"/>
  <c r="J4" i="4"/>
  <c r="J5" i="4"/>
  <c r="J6" i="4"/>
  <c r="J7" i="4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34" i="4"/>
  <c r="J35" i="4"/>
  <c r="J36" i="4"/>
  <c r="J37" i="4"/>
  <c r="J38" i="4"/>
  <c r="J39" i="4"/>
  <c r="J40" i="4"/>
  <c r="J41" i="4"/>
  <c r="J42" i="4"/>
  <c r="J43" i="4"/>
  <c r="J44" i="4"/>
  <c r="J45" i="4"/>
  <c r="J46" i="4"/>
  <c r="J47" i="4"/>
  <c r="J48" i="4"/>
  <c r="J49" i="4"/>
  <c r="J50" i="4"/>
  <c r="J51" i="4"/>
  <c r="I3" i="4"/>
  <c r="I4" i="4"/>
  <c r="I5" i="4"/>
  <c r="I6" i="4"/>
  <c r="I7" i="4"/>
  <c r="I8" i="4"/>
  <c r="I9" i="4"/>
  <c r="I10" i="4"/>
  <c r="I11" i="4"/>
  <c r="I12" i="4"/>
  <c r="I13" i="4"/>
  <c r="I14" i="4"/>
  <c r="I15" i="4"/>
  <c r="I16" i="4"/>
  <c r="I17" i="4"/>
  <c r="I18" i="4"/>
  <c r="I19" i="4"/>
  <c r="AG72" i="1" s="1"/>
  <c r="I20" i="4"/>
  <c r="I21" i="4"/>
  <c r="I22" i="4"/>
  <c r="I23" i="4"/>
  <c r="I24" i="4"/>
  <c r="I25" i="4"/>
  <c r="I26" i="4"/>
  <c r="I27" i="4"/>
  <c r="I28" i="4"/>
  <c r="I29" i="4"/>
  <c r="I30" i="4"/>
  <c r="I31" i="4"/>
  <c r="AG21" i="1" s="1"/>
  <c r="I32" i="4"/>
  <c r="I33" i="4"/>
  <c r="I34" i="4"/>
  <c r="I35" i="4"/>
  <c r="AG55" i="1" s="1"/>
  <c r="I36" i="4"/>
  <c r="I37" i="4"/>
  <c r="I38" i="4"/>
  <c r="I39" i="4"/>
  <c r="AG38" i="1" s="1"/>
  <c r="I40" i="4"/>
  <c r="I41" i="4"/>
  <c r="I42" i="4"/>
  <c r="I43" i="4"/>
  <c r="I44" i="4"/>
  <c r="I45" i="4"/>
  <c r="I46" i="4"/>
  <c r="I47" i="4"/>
  <c r="I48" i="4"/>
  <c r="I49" i="4"/>
  <c r="I50" i="4"/>
  <c r="I51" i="4"/>
  <c r="AG85" i="1" s="1"/>
  <c r="AG86" i="1" s="1" a="1"/>
  <c r="AG86" i="1" s="1"/>
  <c r="AF87" i="1" l="1"/>
  <c r="AJ87" i="1"/>
  <c r="AF40" i="1"/>
  <c r="AJ40" i="1"/>
  <c r="AJ23" i="1"/>
  <c r="AF23" i="1"/>
  <c r="AJ74" i="1"/>
  <c r="AF74" i="1"/>
  <c r="AF57" i="1"/>
  <c r="T57" i="1"/>
  <c r="X57" i="1"/>
  <c r="AJ57" i="1"/>
  <c r="Y7" i="1"/>
  <c r="Y8" i="1" s="1"/>
  <c r="Y9" i="1" s="1" a="1"/>
  <c r="Y9" i="1" s="1"/>
  <c r="AG7" i="1" l="1"/>
  <c r="AG8" i="1" s="1"/>
  <c r="AG9" i="1" s="1" a="1"/>
  <c r="AG9" i="1" s="1"/>
  <c r="T7" i="1"/>
  <c r="T8" i="1" s="1"/>
  <c r="T9" i="1" s="1" a="1"/>
  <c r="T9" i="1" s="1"/>
  <c r="AB7" i="1"/>
  <c r="AB8" i="1" s="1"/>
  <c r="AB9" i="1" s="1" a="1"/>
  <c r="AB9" i="1" s="1"/>
  <c r="H7" i="1"/>
  <c r="H8" i="1" s="1"/>
  <c r="G4" i="3"/>
  <c r="G6" i="3" s="1"/>
  <c r="C3" i="2" a="1"/>
  <c r="C3" i="2" s="1"/>
  <c r="G3" i="2" s="1"/>
  <c r="C5" i="2" a="1"/>
  <c r="C5" i="2" s="1"/>
  <c r="G5" i="2" s="1"/>
  <c r="C4" i="2" a="1"/>
  <c r="C4" i="2" s="1"/>
  <c r="G4" i="2" s="1"/>
  <c r="K4" i="2" a="1"/>
  <c r="K3" i="2" a="1"/>
  <c r="K5" i="2" a="1"/>
  <c r="J3" i="2" l="1"/>
  <c r="J5" i="2"/>
  <c r="I3" i="2"/>
  <c r="J4" i="2"/>
  <c r="H3" i="2"/>
  <c r="I4" i="2"/>
  <c r="I5" i="2"/>
  <c r="H4" i="2"/>
  <c r="H5" i="2"/>
  <c r="K3" i="2"/>
  <c r="K5" i="2"/>
  <c r="O5" i="2" s="1"/>
  <c r="K4" i="2"/>
  <c r="M4" i="2" a="1"/>
  <c r="M3" i="2" a="1"/>
  <c r="N5" i="2" a="1"/>
  <c r="L5" i="2" a="1"/>
  <c r="L4" i="2" a="1"/>
  <c r="M5" i="2" a="1"/>
  <c r="N4" i="2" a="1"/>
  <c r="L3" i="2" a="1"/>
  <c r="N3" i="2" a="1"/>
  <c r="O4" i="2" l="1"/>
  <c r="H10" i="1"/>
  <c r="AF10" i="1"/>
  <c r="X10" i="1"/>
  <c r="AJ10" i="1"/>
  <c r="P10" i="1"/>
  <c r="L10" i="1"/>
  <c r="T10" i="1"/>
  <c r="AB10" i="1"/>
  <c r="N4" i="2"/>
  <c r="M3" i="2"/>
  <c r="N5" i="2"/>
  <c r="L3" i="2"/>
  <c r="N3" i="2"/>
  <c r="L5" i="2"/>
  <c r="L4" i="2"/>
  <c r="M5" i="2"/>
  <c r="M4" i="2"/>
  <c r="Q5" i="2" l="1"/>
  <c r="R5" i="2"/>
  <c r="P4" i="2"/>
  <c r="P5" i="2"/>
  <c r="Q4" i="2"/>
  <c r="R4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tc={9198ECBD-678F-432C-92F8-9718C205B842}</author>
    <author>tc={69C14207-E377-4261-B3FB-8D20B1D52083}</author>
    <author>tc={0937F6A1-B596-46C2-B233-918904433524}</author>
    <author>tc={36832EF2-528E-47A8-8180-3A5791D5C35A}</author>
    <author>tc={EE7F0B5C-798E-4B8B-81A7-9396751C7BD4}</author>
    <author>tc={AEB1F313-58E6-44DA-A422-7CCD6DAD3893}</author>
    <author>tc={107DCB09-9769-44D1-BD60-6C184BFE2955}</author>
    <author>tc={73854207-23F7-41BA-8534-B4384FB666DB}</author>
    <author>tc={B9C9A698-470D-4E2E-B1CE-8F40F91BAC54}</author>
    <author>tc={F0E8C72D-DFED-403B-A5C6-9E9E8DFA418E}</author>
    <author>tc={7B301A01-1225-457E-AAB3-F03D2845D6B4}</author>
    <author>tc={47EE75B6-E12A-44AB-9946-737C2CD55ECD}</author>
    <author>tc={BCD939F0-123F-4DEE-9D31-CD0744948F3B}</author>
    <author>tc={AED09461-1538-4A9F-A073-D1F6644BCD0A}</author>
  </authors>
  <commentList>
    <comment ref="C30" authorId="0" shapeId="0" xr:uid="{9198ECBD-678F-432C-92F8-9718C205B842}">
      <text>
        <t>[Threaded comment]
Your version of Excel allows you to read this threaded comment; however, any edits to it will get removed if the file is opened in a newer version of Excel. Learn more: https://go.microsoft.com/fwlink/?linkid=870924
Comment:
    Nội dung thanh ghi PC ở lệnh hiện tại. 
Viết ở hệ 16</t>
      </text>
    </comment>
    <comment ref="AM30" authorId="1" shapeId="0" xr:uid="{69C14207-E377-4261-B3FB-8D20B1D52083}">
      <text>
        <t>[Threaded comment]
Your version of Excel allows you to read this threaded comment; however, any edits to it will get removed if the file is opened in a newer version of Excel. Learn more: https://go.microsoft.com/fwlink/?linkid=870924
Comment:
    Nội dung thanh ghi PC ở lệnh hiện tại.
Viết ở hệ 2</t>
      </text>
    </comment>
    <comment ref="C31" authorId="2" shapeId="0" xr:uid="{0937F6A1-B596-46C2-B233-918904433524}">
      <text>
        <t>[Threaded comment]
Your version of Excel allows you to read this threaded comment; however, any edits to it will get removed if the file is opened in a newer version of Excel. Learn more: https://go.microsoft.com/fwlink/?linkid=870924
Comment:
    Nội dung thanh ghi PC ở lệnh hiện tại. 
Viết ở hệ 10</t>
      </text>
    </comment>
    <comment ref="D32" authorId="3" shapeId="0" xr:uid="{36832EF2-528E-47A8-8180-3A5791D5C35A}">
      <text>
        <t>[Threaded comment]
Your version of Excel allows you to read this threaded comment; however, any edits to it will get removed if the file is opened in a newer version of Excel. Learn more: https://go.microsoft.com/fwlink/?linkid=870924
Comment:
    Khoảng cách, tính theo số byte, giữa đĩa chỉ của lệnh nơi nhảy tới, và địa chỉ lệnh hiện tại.</t>
      </text>
    </comment>
    <comment ref="C33" authorId="4" shapeId="0" xr:uid="{EE7F0B5C-798E-4B8B-81A7-9396751C7BD4}">
      <text>
        <t>[Threaded comment]
Your version of Excel allows you to read this threaded comment; however, any edits to it will get removed if the file is opened in a newer version of Excel. Learn more: https://go.microsoft.com/fwlink/?linkid=870924
Comment:
    Nội dung thanh ghi PC chứa địa chỉ nơi nhảy đến. 
Viết ở hệ 10</t>
      </text>
    </comment>
    <comment ref="C34" authorId="5" shapeId="0" xr:uid="{AEB1F313-58E6-44DA-A422-7CCD6DAD3893}">
      <text>
        <t>[Threaded comment]
Your version of Excel allows you to read this threaded comment; however, any edits to it will get removed if the file is opened in a newer version of Excel. Learn more: https://go.microsoft.com/fwlink/?linkid=870924
Comment:
    Nội dung thanh ghi PC chứa địa chỉ nơi nhảy đến. 
Viết ở hệ 16</t>
      </text>
    </comment>
    <comment ref="AM34" authorId="6" shapeId="0" xr:uid="{107DCB09-9769-44D1-BD60-6C184BFE2955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Nội dung thanh ghi PC nơ nhảy đến
Viết ở hệ 2
</t>
      </text>
    </comment>
    <comment ref="C47" authorId="7" shapeId="0" xr:uid="{73854207-23F7-41BA-8534-B4384FB666DB}">
      <text>
        <t>[Threaded comment]
Your version of Excel allows you to read this threaded comment; however, any edits to it will get removed if the file is opened in a newer version of Excel. Learn more: https://go.microsoft.com/fwlink/?linkid=870924
Comment:
    Nội dung thanh ghi PC ở lệnh hiện tại. 
Viết ở hệ 16</t>
      </text>
    </comment>
    <comment ref="AM47" authorId="8" shapeId="0" xr:uid="{B9C9A698-470D-4E2E-B1CE-8F40F91BAC54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Nội dung thanh ghi PC ở lệnh hiện tại. 
Viết ở hệ 2
</t>
      </text>
    </comment>
    <comment ref="C48" authorId="9" shapeId="0" xr:uid="{F0E8C72D-DFED-403B-A5C6-9E9E8DFA418E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Nội dung thanh ghi PC ở lệnh hiện tại. 
Viết ở hệ 10
</t>
      </text>
    </comment>
    <comment ref="D49" authorId="10" shapeId="0" xr:uid="{7B301A01-1225-457E-AAB3-F03D2845D6B4}">
      <text>
        <t>[Threaded comment]
Your version of Excel allows you to read this threaded comment; however, any edits to it will get removed if the file is opened in a newer version of Excel. Learn more: https://go.microsoft.com/fwlink/?linkid=870924
Comment:
    Khoảng cách, tính theo số byte, giữa đĩa chỉ của lệnh nơi nhảy tới, và địa chỉ lệnh hiện tại.</t>
      </text>
    </comment>
    <comment ref="C50" authorId="11" shapeId="0" xr:uid="{47EE75B6-E12A-44AB-9946-737C2CD55ECD}">
      <text>
        <t>[Threaded comment]
Your version of Excel allows you to read this threaded comment; however, any edits to it will get removed if the file is opened in a newer version of Excel. Learn more: https://go.microsoft.com/fwlink/?linkid=870924
Comment:
    Nội dung thanh ghi PC, nếu rẽ nhánh, sẽ chứa địa chỉ nơi nhảy đến
Viết ở hệ 10</t>
      </text>
    </comment>
    <comment ref="C51" authorId="12" shapeId="0" xr:uid="{BCD939F0-123F-4DEE-9D31-CD0744948F3B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Nội dung thanh ghi PC, nếu rẽ nhánh, sẽ chứa địa chỉ nơi nhảy đến
Viết ở hệ 16
</t>
      </text>
    </comment>
    <comment ref="AM51" authorId="13" shapeId="0" xr:uid="{AED09461-1538-4A9F-A073-D1F6644BCD0A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Nội dung thanh ghi PC, nếu rẽ nhánh, sẽ chứa địa chỉ nơi nhảy đến
Viết ở hệ 2
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<sst xmlns="http://schemas.openxmlformats.org/spreadsheetml/2006/main" count="595" uniqueCount="310">
  <si>
    <t>Register Name</t>
  </si>
  <si>
    <t>Index</t>
  </si>
  <si>
    <t>Khoảng</t>
  </si>
  <si>
    <r>
      <rPr>
        <b/>
        <sz val="11"/>
        <color theme="7" tint="-0.249977111117893"/>
        <rFont val="Aptos Narrow"/>
        <family val="2"/>
        <scheme val="minor"/>
      </rPr>
      <t>01</t>
    </r>
    <r>
      <rPr>
        <sz val="11"/>
        <color rgb="FFFF0000"/>
        <rFont val="Aptos Narrow"/>
        <family val="2"/>
        <scheme val="minor"/>
      </rPr>
      <t>x</t>
    </r>
    <r>
      <rPr>
        <b/>
        <sz val="11"/>
        <color theme="7" tint="-0.249977111117893"/>
        <rFont val="Aptos Narrow"/>
        <family val="2"/>
        <scheme val="minor"/>
      </rPr>
      <t>00</t>
    </r>
    <r>
      <rPr>
        <b/>
        <sz val="11"/>
        <color theme="0" tint="-0.34998626667073579"/>
        <rFont val="Aptos Narrow"/>
        <family val="2"/>
        <scheme val="minor"/>
      </rPr>
      <t>11</t>
    </r>
  </si>
  <si>
    <r>
      <rPr>
        <sz val="11"/>
        <color rgb="FFFF0000"/>
        <rFont val="Aptos Narrow"/>
        <family val="2"/>
        <scheme val="minor"/>
      </rPr>
      <t>xxxxx</t>
    </r>
    <r>
      <rPr>
        <b/>
        <sz val="11"/>
        <color theme="0" tint="-0.34998626667073579"/>
        <rFont val="Aptos Narrow"/>
        <family val="2"/>
        <scheme val="minor"/>
      </rPr>
      <t>11</t>
    </r>
  </si>
  <si>
    <r>
      <rPr>
        <b/>
        <sz val="11"/>
        <color rgb="FF0070C0"/>
        <rFont val="Aptos Narrow"/>
        <family val="2"/>
        <scheme val="minor"/>
      </rPr>
      <t>01000</t>
    </r>
    <r>
      <rPr>
        <b/>
        <sz val="11"/>
        <color theme="0" tint="-0.34998626667073579"/>
        <rFont val="Aptos Narrow"/>
        <family val="2"/>
        <scheme val="minor"/>
      </rPr>
      <t>11</t>
    </r>
  </si>
  <si>
    <r>
      <rPr>
        <b/>
        <sz val="11"/>
        <color rgb="FF0070C0"/>
        <rFont val="Aptos Narrow"/>
        <family val="2"/>
        <scheme val="minor"/>
      </rPr>
      <t>0</t>
    </r>
    <r>
      <rPr>
        <sz val="11"/>
        <color rgb="FFFF0000"/>
        <rFont val="Aptos Narrow"/>
        <family val="2"/>
        <scheme val="minor"/>
      </rPr>
      <t>x</t>
    </r>
    <r>
      <rPr>
        <b/>
        <sz val="11"/>
        <color rgb="FF0070C0"/>
        <rFont val="Aptos Narrow"/>
        <family val="2"/>
        <scheme val="minor"/>
      </rPr>
      <t>101</t>
    </r>
    <r>
      <rPr>
        <b/>
        <sz val="11"/>
        <color theme="0" tint="-0.34998626667073579"/>
        <rFont val="Aptos Narrow"/>
        <family val="2"/>
        <scheme val="minor"/>
      </rPr>
      <t>11</t>
    </r>
  </si>
  <si>
    <r>
      <rPr>
        <b/>
        <sz val="11"/>
        <color rgb="FF0070C0"/>
        <rFont val="Aptos Narrow"/>
        <family val="2"/>
        <scheme val="minor"/>
      </rPr>
      <t>11000</t>
    </r>
    <r>
      <rPr>
        <b/>
        <sz val="11"/>
        <color theme="0" tint="-0.34998626667073579"/>
        <rFont val="Aptos Narrow"/>
        <family val="2"/>
        <scheme val="minor"/>
      </rPr>
      <t>11</t>
    </r>
  </si>
  <si>
    <r>
      <rPr>
        <b/>
        <sz val="11"/>
        <color rgb="FF0070C0"/>
        <rFont val="Aptos Narrow"/>
        <family val="2"/>
        <scheme val="minor"/>
      </rPr>
      <t>11011</t>
    </r>
    <r>
      <rPr>
        <b/>
        <sz val="11"/>
        <color theme="0" tint="-0.34998626667073579"/>
        <rFont val="Aptos Narrow"/>
        <family val="2"/>
        <scheme val="minor"/>
      </rPr>
      <t>11</t>
    </r>
  </si>
  <si>
    <t>zero</t>
  </si>
  <si>
    <t>MNEMONIC</t>
  </si>
  <si>
    <t>FMT</t>
  </si>
  <si>
    <t>OPCODE</t>
  </si>
  <si>
    <t>FUNCT3</t>
  </si>
  <si>
    <t>FUNCT7 or IMM</t>
  </si>
  <si>
    <t>OPCODE  (10)</t>
  </si>
  <si>
    <t>FUNCT7 (10)</t>
  </si>
  <si>
    <t>FUNCT3 (10)</t>
  </si>
  <si>
    <t>Description</t>
  </si>
  <si>
    <t>Operation</t>
  </si>
  <si>
    <t>cách</t>
  </si>
  <si>
    <t>R-type</t>
  </si>
  <si>
    <t>I-Type</t>
  </si>
  <si>
    <t>S-type</t>
  </si>
  <si>
    <t>U-type</t>
  </si>
  <si>
    <t>B-Type</t>
  </si>
  <si>
    <t>J-type</t>
  </si>
  <si>
    <t>ra</t>
  </si>
  <si>
    <t>lb</t>
  </si>
  <si>
    <t>I</t>
  </si>
  <si>
    <t>0000011</t>
  </si>
  <si>
    <t>000</t>
  </si>
  <si>
    <t>–</t>
  </si>
  <si>
    <r>
      <t>lb</t>
    </r>
    <r>
      <rPr>
        <sz val="11"/>
        <color rgb="FF3B3B3B"/>
        <rFont val="Consolas"/>
        <family val="3"/>
      </rPr>
      <t xml:space="preserve"> rd, imm(rs1)</t>
    </r>
  </si>
  <si>
    <r>
      <t>rd = SignExt([Address]</t>
    </r>
    <r>
      <rPr>
        <sz val="11"/>
        <color rgb="FF795E26"/>
        <rFont val="Consolas"/>
        <family val="3"/>
      </rPr>
      <t>7</t>
    </r>
    <r>
      <rPr>
        <sz val="11"/>
        <color rgb="FF3B3B3B"/>
        <rFont val="Consolas"/>
        <family val="3"/>
      </rPr>
      <t>:</t>
    </r>
    <r>
      <rPr>
        <sz val="11"/>
        <color rgb="FF098658"/>
        <rFont val="Consolas"/>
        <family val="3"/>
      </rPr>
      <t>0</t>
    </r>
    <r>
      <rPr>
        <sz val="11"/>
        <color rgb="FF3B3B3B"/>
        <rFont val="Consolas"/>
        <family val="3"/>
      </rPr>
      <t>)</t>
    </r>
  </si>
  <si>
    <t>Hamming</t>
  </si>
  <si>
    <t>sp</t>
  </si>
  <si>
    <t>lh</t>
  </si>
  <si>
    <t>001</t>
  </si>
  <si>
    <r>
      <t>lh</t>
    </r>
    <r>
      <rPr>
        <sz val="11"/>
        <color rgb="FF3B3B3B"/>
        <rFont val="Consolas"/>
        <family val="3"/>
      </rPr>
      <t xml:space="preserve"> rd, imm(rs1)</t>
    </r>
  </si>
  <si>
    <r>
      <t>rd = SignExt([Address]</t>
    </r>
    <r>
      <rPr>
        <sz val="11"/>
        <color rgb="FF795E26"/>
        <rFont val="Consolas"/>
        <family val="3"/>
      </rPr>
      <t>15</t>
    </r>
    <r>
      <rPr>
        <sz val="11"/>
        <color rgb="FF3B3B3B"/>
        <rFont val="Consolas"/>
        <family val="3"/>
      </rPr>
      <t>:</t>
    </r>
    <r>
      <rPr>
        <sz val="11"/>
        <color rgb="FF098658"/>
        <rFont val="Consolas"/>
        <family val="3"/>
      </rPr>
      <t>0</t>
    </r>
    <r>
      <rPr>
        <sz val="11"/>
        <color rgb="FF3B3B3B"/>
        <rFont val="Consolas"/>
        <family val="3"/>
      </rPr>
      <t>)</t>
    </r>
  </si>
  <si>
    <t>giữa</t>
  </si>
  <si>
    <t>gp</t>
  </si>
  <si>
    <t>lw</t>
  </si>
  <si>
    <t>010</t>
  </si>
  <si>
    <r>
      <t>lw</t>
    </r>
    <r>
      <rPr>
        <sz val="11"/>
        <color rgb="FF3B3B3B"/>
        <rFont val="Consolas"/>
        <family val="3"/>
      </rPr>
      <t xml:space="preserve"> rd, imm(rs1)</t>
    </r>
  </si>
  <si>
    <r>
      <t>rd = [Address]</t>
    </r>
    <r>
      <rPr>
        <sz val="11"/>
        <color rgb="FF795E26"/>
        <rFont val="Consolas"/>
        <family val="3"/>
      </rPr>
      <t>31</t>
    </r>
    <r>
      <rPr>
        <sz val="11"/>
        <color rgb="FF3B3B3B"/>
        <rFont val="Consolas"/>
        <family val="3"/>
      </rPr>
      <t>:</t>
    </r>
    <r>
      <rPr>
        <sz val="11"/>
        <color rgb="FF098658"/>
        <rFont val="Consolas"/>
        <family val="3"/>
      </rPr>
      <t>0</t>
    </r>
  </si>
  <si>
    <t>tp</t>
  </si>
  <si>
    <t>lbu</t>
  </si>
  <si>
    <t>100</t>
  </si>
  <si>
    <r>
      <t>lbu</t>
    </r>
    <r>
      <rPr>
        <sz val="11"/>
        <color rgb="FF3B3B3B"/>
        <rFont val="Consolas"/>
        <family val="3"/>
      </rPr>
      <t xml:space="preserve"> rd, imm(rs1)</t>
    </r>
  </si>
  <si>
    <r>
      <t>rd = ZeroExt([Address]</t>
    </r>
    <r>
      <rPr>
        <sz val="11"/>
        <color rgb="FF795E26"/>
        <rFont val="Consolas"/>
        <family val="3"/>
      </rPr>
      <t>7</t>
    </r>
    <r>
      <rPr>
        <sz val="11"/>
        <color rgb="FF3B3B3B"/>
        <rFont val="Consolas"/>
        <family val="3"/>
      </rPr>
      <t>:</t>
    </r>
    <r>
      <rPr>
        <sz val="11"/>
        <color rgb="FF098658"/>
        <rFont val="Consolas"/>
        <family val="3"/>
      </rPr>
      <t>0</t>
    </r>
    <r>
      <rPr>
        <sz val="11"/>
        <color rgb="FF3B3B3B"/>
        <rFont val="Consolas"/>
        <family val="3"/>
      </rPr>
      <t>)</t>
    </r>
  </si>
  <si>
    <t>opcode</t>
  </si>
  <si>
    <t>t0</t>
  </si>
  <si>
    <t>lhu</t>
  </si>
  <si>
    <t>101</t>
  </si>
  <si>
    <r>
      <t>lhu</t>
    </r>
    <r>
      <rPr>
        <sz val="11"/>
        <color rgb="FF3B3B3B"/>
        <rFont val="Consolas"/>
        <family val="3"/>
      </rPr>
      <t xml:space="preserve"> rd, imm(rs1)</t>
    </r>
  </si>
  <si>
    <r>
      <t>rd = ZeroExt([Address]</t>
    </r>
    <r>
      <rPr>
        <sz val="11"/>
        <color rgb="FF795E26"/>
        <rFont val="Consolas"/>
        <family val="3"/>
      </rPr>
      <t>15</t>
    </r>
    <r>
      <rPr>
        <sz val="11"/>
        <color rgb="FF3B3B3B"/>
        <rFont val="Consolas"/>
        <family val="3"/>
      </rPr>
      <t>:</t>
    </r>
    <r>
      <rPr>
        <sz val="11"/>
        <color rgb="FF098658"/>
        <rFont val="Consolas"/>
        <family val="3"/>
      </rPr>
      <t>0</t>
    </r>
    <r>
      <rPr>
        <sz val="11"/>
        <color rgb="FF3B3B3B"/>
        <rFont val="Consolas"/>
        <family val="3"/>
      </rPr>
      <t>)</t>
    </r>
  </si>
  <si>
    <t>t1</t>
  </si>
  <si>
    <t>addi</t>
  </si>
  <si>
    <t>0010011</t>
  </si>
  <si>
    <r>
      <t>addi</t>
    </r>
    <r>
      <rPr>
        <sz val="11"/>
        <color rgb="FF3B3B3B"/>
        <rFont val="Consolas"/>
        <family val="3"/>
      </rPr>
      <t xml:space="preserve"> rd, rs1</t>
    </r>
  </si>
  <si>
    <t>rd = rs1 + SignExt(imm)</t>
  </si>
  <si>
    <t>t2</t>
  </si>
  <si>
    <t>slli</t>
  </si>
  <si>
    <t>0000000*</t>
  </si>
  <si>
    <r>
      <t>slli</t>
    </r>
    <r>
      <rPr>
        <sz val="11"/>
        <color rgb="FF3B3B3B"/>
        <rFont val="Consolas"/>
        <family val="3"/>
      </rPr>
      <t xml:space="preserve"> rd, rs1</t>
    </r>
  </si>
  <si>
    <t>rd = rs1 &lt;&lt; uimm</t>
  </si>
  <si>
    <t>s0</t>
  </si>
  <si>
    <t>slti</t>
  </si>
  <si>
    <r>
      <t>slti</t>
    </r>
    <r>
      <rPr>
        <sz val="11"/>
        <color rgb="FF3B3B3B"/>
        <rFont val="Consolas"/>
        <family val="3"/>
      </rPr>
      <t xml:space="preserve"> rd, rs1</t>
    </r>
  </si>
  <si>
    <t>rd = (rs1 &lt; SignExt(imm))</t>
  </si>
  <si>
    <t>s1</t>
  </si>
  <si>
    <t>sltiu</t>
  </si>
  <si>
    <t>011</t>
  </si>
  <si>
    <r>
      <t>sltiu</t>
    </r>
    <r>
      <rPr>
        <sz val="11"/>
        <color rgb="FF3B3B3B"/>
        <rFont val="Consolas"/>
        <family val="3"/>
      </rPr>
      <t xml:space="preserve">  rd, rs1</t>
    </r>
  </si>
  <si>
    <t>a0</t>
  </si>
  <si>
    <t>xori</t>
  </si>
  <si>
    <r>
      <t>xori</t>
    </r>
    <r>
      <rPr>
        <sz val="11"/>
        <color rgb="FF3B3B3B"/>
        <rFont val="Consolas"/>
        <family val="3"/>
      </rPr>
      <t xml:space="preserve"> rd, rs1</t>
    </r>
  </si>
  <si>
    <t>rd = rs1 ^ SignExt(imm)</t>
  </si>
  <si>
    <t>a1</t>
  </si>
  <si>
    <t>srli</t>
  </si>
  <si>
    <r>
      <t>srli</t>
    </r>
    <r>
      <rPr>
        <sz val="11"/>
        <color rgb="FF3B3B3B"/>
        <rFont val="Consolas"/>
        <family val="3"/>
      </rPr>
      <t xml:space="preserve"> rd, rs1</t>
    </r>
  </si>
  <si>
    <t>rd = rs1 &gt;&gt; uimm</t>
  </si>
  <si>
    <t>a2</t>
  </si>
  <si>
    <t>srai</t>
  </si>
  <si>
    <t>0100000*</t>
  </si>
  <si>
    <r>
      <t>srai</t>
    </r>
    <r>
      <rPr>
        <sz val="11"/>
        <color rgb="FF3B3B3B"/>
        <rFont val="Consolas"/>
        <family val="3"/>
      </rPr>
      <t xml:space="preserve"> rd, rs1</t>
    </r>
  </si>
  <si>
    <t>rd = rs1 &gt;&gt;&gt; uimm</t>
  </si>
  <si>
    <t>a3</t>
  </si>
  <si>
    <t>ori</t>
  </si>
  <si>
    <t>110</t>
  </si>
  <si>
    <r>
      <t>ori</t>
    </r>
    <r>
      <rPr>
        <sz val="11"/>
        <color rgb="FF3B3B3B"/>
        <rFont val="Consolas"/>
        <family val="3"/>
      </rPr>
      <t xml:space="preserve"> rd, rs1</t>
    </r>
  </si>
  <si>
    <t>rd = rs1 | SignExt(imm)</t>
  </si>
  <si>
    <t>a4</t>
  </si>
  <si>
    <t>andi</t>
  </si>
  <si>
    <t>111</t>
  </si>
  <si>
    <r>
      <t>andi</t>
    </r>
    <r>
      <rPr>
        <sz val="11"/>
        <color rgb="FF3B3B3B"/>
        <rFont val="Consolas"/>
        <family val="3"/>
      </rPr>
      <t xml:space="preserve"> rd, rs1</t>
    </r>
  </si>
  <si>
    <t>rd = rs1 &amp; SignExt(imm)</t>
  </si>
  <si>
    <t>a5</t>
  </si>
  <si>
    <t>auipc</t>
  </si>
  <si>
    <t>U</t>
  </si>
  <si>
    <t>0010111</t>
  </si>
  <si>
    <r>
      <t>auipc</t>
    </r>
    <r>
      <rPr>
        <sz val="11"/>
        <color rgb="FF3B3B3B"/>
        <rFont val="Consolas"/>
        <family val="3"/>
      </rPr>
      <t xml:space="preserve"> rd, upimm</t>
    </r>
  </si>
  <si>
    <r>
      <t xml:space="preserve">rd = {upimm, </t>
    </r>
    <r>
      <rPr>
        <sz val="11"/>
        <color rgb="FF098658"/>
        <rFont val="Consolas"/>
        <family val="3"/>
      </rPr>
      <t>12</t>
    </r>
    <r>
      <rPr>
        <sz val="11"/>
        <color rgb="FFA31515"/>
        <rFont val="Consolas"/>
        <family val="3"/>
      </rPr>
      <t>'b0} + PC</t>
    </r>
  </si>
  <si>
    <t>a6</t>
  </si>
  <si>
    <t>sb</t>
  </si>
  <si>
    <t>S</t>
  </si>
  <si>
    <t>0100011</t>
  </si>
  <si>
    <r>
      <t>sb</t>
    </r>
    <r>
      <rPr>
        <sz val="11"/>
        <color rgb="FF3B3B3B"/>
        <rFont val="Consolas"/>
        <family val="3"/>
      </rPr>
      <t xml:space="preserve"> rs2, imm(rs1)</t>
    </r>
  </si>
  <si>
    <r>
      <t>[Address]7:0 = rs2</t>
    </r>
    <r>
      <rPr>
        <vertAlign val="subscript"/>
        <sz val="11"/>
        <color rgb="FFA31515"/>
        <rFont val="Consolas"/>
        <family val="3"/>
      </rPr>
      <t>7:0</t>
    </r>
  </si>
  <si>
    <t>a7</t>
  </si>
  <si>
    <t>sh</t>
  </si>
  <si>
    <r>
      <t>sh</t>
    </r>
    <r>
      <rPr>
        <sz val="11"/>
        <color rgb="FF3B3B3B"/>
        <rFont val="Consolas"/>
        <family val="3"/>
      </rPr>
      <t xml:space="preserve"> rs2, imm(rs1)</t>
    </r>
  </si>
  <si>
    <r>
      <t>[Address]15:0 = rs2</t>
    </r>
    <r>
      <rPr>
        <vertAlign val="subscript"/>
        <sz val="11"/>
        <color rgb="FFA31515"/>
        <rFont val="Consolas"/>
        <family val="3"/>
      </rPr>
      <t>15:0</t>
    </r>
  </si>
  <si>
    <t>s2</t>
  </si>
  <si>
    <t>sw</t>
  </si>
  <si>
    <r>
      <t>sw</t>
    </r>
    <r>
      <rPr>
        <sz val="11"/>
        <color rgb="FF3B3B3B"/>
        <rFont val="Consolas"/>
        <family val="3"/>
      </rPr>
      <t xml:space="preserve"> rs2, imm(rs1)</t>
    </r>
  </si>
  <si>
    <t>[Address]31:0 = rs2</t>
  </si>
  <si>
    <t>s3</t>
  </si>
  <si>
    <t>add</t>
  </si>
  <si>
    <t>R</t>
  </si>
  <si>
    <t>0110011</t>
  </si>
  <si>
    <t>0000000</t>
  </si>
  <si>
    <r>
      <t>add</t>
    </r>
    <r>
      <rPr>
        <sz val="11"/>
        <color rgb="FF3B3B3B"/>
        <rFont val="Consolas"/>
        <family val="3"/>
      </rPr>
      <t xml:space="preserve"> rd, rs1</t>
    </r>
  </si>
  <si>
    <t>rd = rs1 + rs2</t>
  </si>
  <si>
    <t>s4</t>
  </si>
  <si>
    <t>sub</t>
  </si>
  <si>
    <t>0100000</t>
  </si>
  <si>
    <r>
      <t>sub</t>
    </r>
    <r>
      <rPr>
        <sz val="11"/>
        <color rgb="FF3B3B3B"/>
        <rFont val="Consolas"/>
        <family val="3"/>
      </rPr>
      <t xml:space="preserve"> rd, rs1</t>
    </r>
  </si>
  <si>
    <t>rd = rs1 — rs2</t>
  </si>
  <si>
    <t>s5</t>
  </si>
  <si>
    <t>sll</t>
  </si>
  <si>
    <r>
      <t>sll</t>
    </r>
    <r>
      <rPr>
        <sz val="11"/>
        <color rgb="FF3B3B3B"/>
        <rFont val="Consolas"/>
        <family val="3"/>
      </rPr>
      <t xml:space="preserve"> rd, rs1</t>
    </r>
  </si>
  <si>
    <r>
      <t>rd = rs1 &lt;&lt; rs2</t>
    </r>
    <r>
      <rPr>
        <vertAlign val="subscript"/>
        <sz val="11"/>
        <color rgb="FFA31515"/>
        <rFont val="Consolas"/>
        <family val="3"/>
      </rPr>
      <t>4:0</t>
    </r>
  </si>
  <si>
    <t>s6</t>
  </si>
  <si>
    <t>slt</t>
  </si>
  <si>
    <r>
      <t>slt</t>
    </r>
    <r>
      <rPr>
        <sz val="11"/>
        <color rgb="FF3B3B3B"/>
        <rFont val="Consolas"/>
        <family val="3"/>
      </rPr>
      <t xml:space="preserve"> rd, rs1</t>
    </r>
  </si>
  <si>
    <t>rd = (rs1 &lt; rs2)</t>
  </si>
  <si>
    <t>s7</t>
  </si>
  <si>
    <t>sltu</t>
  </si>
  <si>
    <r>
      <t>sltu</t>
    </r>
    <r>
      <rPr>
        <sz val="11"/>
        <color rgb="FF3B3B3B"/>
        <rFont val="Consolas"/>
        <family val="3"/>
      </rPr>
      <t xml:space="preserve"> rd, rs1</t>
    </r>
  </si>
  <si>
    <t>Lệnh</t>
  </si>
  <si>
    <t>Opcode</t>
  </si>
  <si>
    <t>Opchung</t>
  </si>
  <si>
    <t>s8</t>
  </si>
  <si>
    <t>xor</t>
  </si>
  <si>
    <r>
      <t>xor</t>
    </r>
    <r>
      <rPr>
        <sz val="11"/>
        <color rgb="FF3B3B3B"/>
        <rFont val="Consolas"/>
        <family val="3"/>
      </rPr>
      <t xml:space="preserve"> rd, rs1</t>
    </r>
  </si>
  <si>
    <t>rd = rs1 ^ rs2</t>
  </si>
  <si>
    <t>jal</t>
  </si>
  <si>
    <r>
      <t>110</t>
    </r>
    <r>
      <rPr>
        <b/>
        <sz val="11"/>
        <color rgb="FFFF0000"/>
        <rFont val="Courier New"/>
        <family val="3"/>
      </rPr>
      <t>1</t>
    </r>
    <r>
      <rPr>
        <sz val="11"/>
        <color theme="1"/>
        <rFont val="Courier New"/>
        <family val="3"/>
      </rPr>
      <t>111</t>
    </r>
  </si>
  <si>
    <r>
      <t>110</t>
    </r>
    <r>
      <rPr>
        <b/>
        <sz val="11"/>
        <color rgb="FFFF0000"/>
        <rFont val="Courier New"/>
        <family val="3"/>
      </rPr>
      <t>x</t>
    </r>
    <r>
      <rPr>
        <sz val="11"/>
        <color theme="1"/>
        <rFont val="Courier New"/>
        <family val="3"/>
      </rPr>
      <t>111</t>
    </r>
  </si>
  <si>
    <t>s9</t>
  </si>
  <si>
    <t>srl</t>
  </si>
  <si>
    <r>
      <t>srl</t>
    </r>
    <r>
      <rPr>
        <sz val="11"/>
        <color rgb="FF3B3B3B"/>
        <rFont val="Consolas"/>
        <family val="3"/>
      </rPr>
      <t xml:space="preserve"> rd, rs1</t>
    </r>
  </si>
  <si>
    <r>
      <t>rd = rs1 &gt;&gt; rs2</t>
    </r>
    <r>
      <rPr>
        <vertAlign val="subscript"/>
        <sz val="11"/>
        <color rgb="FFA31515"/>
        <rFont val="Consolas"/>
        <family val="3"/>
      </rPr>
      <t>4:0</t>
    </r>
  </si>
  <si>
    <t>jalr</t>
  </si>
  <si>
    <r>
      <t>110</t>
    </r>
    <r>
      <rPr>
        <b/>
        <sz val="11"/>
        <color rgb="FFFF0000"/>
        <rFont val="Courier New"/>
        <family val="3"/>
      </rPr>
      <t>0</t>
    </r>
    <r>
      <rPr>
        <sz val="11"/>
        <color theme="1"/>
        <rFont val="Courier New"/>
        <family val="3"/>
      </rPr>
      <t>111</t>
    </r>
  </si>
  <si>
    <t>s10</t>
  </si>
  <si>
    <t>sra</t>
  </si>
  <si>
    <r>
      <t>sra</t>
    </r>
    <r>
      <rPr>
        <sz val="11"/>
        <color rgb="FF3B3B3B"/>
        <rFont val="Consolas"/>
        <family val="3"/>
      </rPr>
      <t xml:space="preserve"> rd, rs1</t>
    </r>
  </si>
  <si>
    <r>
      <t>rd = rs1 &gt;&gt;&gt; rs2</t>
    </r>
    <r>
      <rPr>
        <vertAlign val="subscript"/>
        <sz val="11"/>
        <color rgb="FFA31515"/>
        <rFont val="Consolas"/>
        <family val="3"/>
      </rPr>
      <t>4:0</t>
    </r>
  </si>
  <si>
    <t>s11</t>
  </si>
  <si>
    <t>or</t>
  </si>
  <si>
    <r>
      <t>or</t>
    </r>
    <r>
      <rPr>
        <sz val="11"/>
        <color rgb="FF3B3B3B"/>
        <rFont val="Consolas"/>
        <family val="3"/>
      </rPr>
      <t xml:space="preserve"> rd, rs1</t>
    </r>
  </si>
  <si>
    <t>rd = rs1 | rs2</t>
  </si>
  <si>
    <t>Opcode chung</t>
  </si>
  <si>
    <t>t3</t>
  </si>
  <si>
    <t>and</t>
  </si>
  <si>
    <r>
      <t>and</t>
    </r>
    <r>
      <rPr>
        <sz val="11"/>
        <color rgb="FF3B3B3B"/>
        <rFont val="Consolas"/>
        <family val="3"/>
      </rPr>
      <t xml:space="preserve"> rd, rs1</t>
    </r>
  </si>
  <si>
    <t>rd = rs1 &amp; rs2</t>
  </si>
  <si>
    <t>R,I,S,U</t>
  </si>
  <si>
    <r>
      <rPr>
        <b/>
        <sz val="11"/>
        <color rgb="FFFF0000"/>
        <rFont val="Courier New"/>
        <family val="3"/>
      </rPr>
      <t>0</t>
    </r>
    <r>
      <rPr>
        <sz val="11"/>
        <color rgb="FF795E26"/>
        <rFont val="Courier New"/>
        <family val="3"/>
      </rPr>
      <t>xxxx11</t>
    </r>
  </si>
  <si>
    <t>trừ trường hợp jalr</t>
  </si>
  <si>
    <t>t4</t>
  </si>
  <si>
    <t>lui</t>
  </si>
  <si>
    <t>0110111</t>
  </si>
  <si>
    <r>
      <t>lui</t>
    </r>
    <r>
      <rPr>
        <sz val="11"/>
        <color rgb="FF3B3B3B"/>
        <rFont val="Consolas"/>
        <family val="3"/>
      </rPr>
      <t xml:space="preserve"> rd, upimm</t>
    </r>
  </si>
  <si>
    <t>rd = {upimm, 12’b0}</t>
  </si>
  <si>
    <t>B,J</t>
  </si>
  <si>
    <r>
      <rPr>
        <b/>
        <sz val="11"/>
        <color rgb="FFFF0000"/>
        <rFont val="Courier New"/>
        <family val="3"/>
      </rPr>
      <t>1</t>
    </r>
    <r>
      <rPr>
        <sz val="11"/>
        <color rgb="FF795E26"/>
        <rFont val="Courier New"/>
        <family val="3"/>
      </rPr>
      <t>10xx11</t>
    </r>
  </si>
  <si>
    <t>t5</t>
  </si>
  <si>
    <t>beq</t>
  </si>
  <si>
    <t>B</t>
  </si>
  <si>
    <t>1100011</t>
  </si>
  <si>
    <r>
      <t>beq</t>
    </r>
    <r>
      <rPr>
        <sz val="11"/>
        <color rgb="FF3B3B3B"/>
        <rFont val="Consolas"/>
        <family val="3"/>
      </rPr>
      <t xml:space="preserve"> rs1, rs2</t>
    </r>
    <r>
      <rPr>
        <sz val="11"/>
        <color rgb="FF795E26"/>
        <rFont val="Consolas"/>
        <family val="3"/>
      </rPr>
      <t>, label</t>
    </r>
  </si>
  <si>
    <t>if (rs1 == rs2) PC = BTA</t>
  </si>
  <si>
    <t xml:space="preserve">Các lệnh load </t>
  </si>
  <si>
    <r>
      <rPr>
        <b/>
        <sz val="11"/>
        <color rgb="FF0070C0"/>
        <rFont val="Courier New"/>
        <family val="3"/>
      </rPr>
      <t>0000011</t>
    </r>
  </si>
  <si>
    <t>t6</t>
  </si>
  <si>
    <t>bne</t>
  </si>
  <si>
    <r>
      <t>bne</t>
    </r>
    <r>
      <rPr>
        <sz val="11"/>
        <color rgb="FF3B3B3B"/>
        <rFont val="Consolas"/>
        <family val="3"/>
      </rPr>
      <t xml:space="preserve"> rs1, rs2</t>
    </r>
    <r>
      <rPr>
        <sz val="11"/>
        <color rgb="FF795E26"/>
        <rFont val="Consolas"/>
        <family val="3"/>
      </rPr>
      <t>, label</t>
    </r>
  </si>
  <si>
    <t>if (rs1 ! rs2) PC = BTA</t>
  </si>
  <si>
    <t>blt</t>
  </si>
  <si>
    <r>
      <t>blt</t>
    </r>
    <r>
      <rPr>
        <sz val="11"/>
        <color rgb="FF3B3B3B"/>
        <rFont val="Consolas"/>
        <family val="3"/>
      </rPr>
      <t xml:space="preserve"> rs1, rs2</t>
    </r>
    <r>
      <rPr>
        <sz val="11"/>
        <color rgb="FF795E26"/>
        <rFont val="Consolas"/>
        <family val="3"/>
      </rPr>
      <t>, label</t>
    </r>
  </si>
  <si>
    <t>if (rs1 &lt; rs2) PC = BTA</t>
  </si>
  <si>
    <t>bge</t>
  </si>
  <si>
    <r>
      <t>bge</t>
    </r>
    <r>
      <rPr>
        <sz val="11"/>
        <color rgb="FF3B3B3B"/>
        <rFont val="Consolas"/>
        <family val="3"/>
      </rPr>
      <t xml:space="preserve"> rs1, rs2</t>
    </r>
    <r>
      <rPr>
        <sz val="11"/>
        <color rgb="FF795E26"/>
        <rFont val="Consolas"/>
        <family val="3"/>
      </rPr>
      <t>, label</t>
    </r>
  </si>
  <si>
    <t>if (rs1 &gt;= rs2) PC = BTA</t>
  </si>
  <si>
    <t>bltu</t>
  </si>
  <si>
    <r>
      <t>bltu</t>
    </r>
    <r>
      <rPr>
        <sz val="11"/>
        <color rgb="FF3B3B3B"/>
        <rFont val="Consolas"/>
        <family val="3"/>
      </rPr>
      <t xml:space="preserve"> rs1, rs2</t>
    </r>
    <r>
      <rPr>
        <sz val="11"/>
        <color rgb="FF795E26"/>
        <rFont val="Consolas"/>
        <family val="3"/>
      </rPr>
      <t>, label</t>
    </r>
  </si>
  <si>
    <t>bgeu</t>
  </si>
  <si>
    <r>
      <t>bgeu</t>
    </r>
    <r>
      <rPr>
        <sz val="11"/>
        <color rgb="FF3B3B3B"/>
        <rFont val="Consolas"/>
        <family val="3"/>
      </rPr>
      <t xml:space="preserve"> rs1, rs2</t>
    </r>
    <r>
      <rPr>
        <sz val="11"/>
        <color rgb="FF795E26"/>
        <rFont val="Consolas"/>
        <family val="3"/>
      </rPr>
      <t>, label</t>
    </r>
  </si>
  <si>
    <t>1100111</t>
  </si>
  <si>
    <r>
      <t>jalr</t>
    </r>
    <r>
      <rPr>
        <sz val="11"/>
        <color rgb="FF3B3B3B"/>
        <rFont val="Consolas"/>
        <family val="3"/>
      </rPr>
      <t xml:space="preserve"> rd, rs1</t>
    </r>
    <r>
      <rPr>
        <sz val="11"/>
        <color rgb="FF795E26"/>
        <rFont val="Consolas"/>
        <family val="3"/>
      </rPr>
      <t>, imm</t>
    </r>
  </si>
  <si>
    <t>PC = rs1 + SignExt(imm), rd = PC + 4</t>
  </si>
  <si>
    <t>J</t>
  </si>
  <si>
    <t>1101111</t>
  </si>
  <si>
    <r>
      <t>jal</t>
    </r>
    <r>
      <rPr>
        <sz val="11"/>
        <color rgb="FF3B3B3B"/>
        <rFont val="Consolas"/>
        <family val="3"/>
      </rPr>
      <t xml:space="preserve"> rd, label</t>
    </r>
  </si>
  <si>
    <t xml:space="preserve">PC = JTA,                rd = PC + 4 </t>
  </si>
  <si>
    <t>ld</t>
  </si>
  <si>
    <r>
      <t>ld</t>
    </r>
    <r>
      <rPr>
        <sz val="11"/>
        <color rgb="FF3B3B3B"/>
        <rFont val="Consolas"/>
        <family val="3"/>
      </rPr>
      <t xml:space="preserve"> rd, imm(rs1)</t>
    </r>
  </si>
  <si>
    <r>
      <t>rd = [Address]</t>
    </r>
    <r>
      <rPr>
        <vertAlign val="subscript"/>
        <sz val="11"/>
        <color rgb="FFA31515"/>
        <rFont val="Consolas"/>
        <family val="3"/>
      </rPr>
      <t>63:0</t>
    </r>
  </si>
  <si>
    <t>lwu</t>
  </si>
  <si>
    <t>lwu rd, imm(rs1)</t>
  </si>
  <si>
    <r>
      <t>rd = ZeroExt([Address]</t>
    </r>
    <r>
      <rPr>
        <vertAlign val="subscript"/>
        <sz val="11"/>
        <color rgb="FFA31515"/>
        <rFont val="Consolas"/>
        <family val="3"/>
      </rPr>
      <t>31:0</t>
    </r>
    <r>
      <rPr>
        <sz val="11"/>
        <color rgb="FFA31515"/>
        <rFont val="Consolas"/>
        <family val="3"/>
      </rPr>
      <t>)</t>
    </r>
  </si>
  <si>
    <t>addiw</t>
  </si>
  <si>
    <t>0011011</t>
  </si>
  <si>
    <r>
      <t>addiw</t>
    </r>
    <r>
      <rPr>
        <sz val="11"/>
        <color rgb="FF3B3B3B"/>
        <rFont val="Consolas"/>
        <family val="3"/>
      </rPr>
      <t xml:space="preserve">  rd, rs1</t>
    </r>
  </si>
  <si>
    <r>
      <t>rd = SignExt((rs1 + SignExt(imm))</t>
    </r>
    <r>
      <rPr>
        <vertAlign val="subscript"/>
        <sz val="11"/>
        <color rgb="FFA31515"/>
        <rFont val="Consolas"/>
        <family val="3"/>
      </rPr>
      <t>31:0</t>
    </r>
    <r>
      <rPr>
        <sz val="11"/>
        <color rgb="FFA31515"/>
        <rFont val="Consolas"/>
        <family val="3"/>
      </rPr>
      <t>)</t>
    </r>
  </si>
  <si>
    <t>slliw</t>
  </si>
  <si>
    <r>
      <t>slliw</t>
    </r>
    <r>
      <rPr>
        <sz val="11"/>
        <color rgb="FF3B3B3B"/>
        <rFont val="Consolas"/>
        <family val="3"/>
      </rPr>
      <t xml:space="preserve">  rd, rs1</t>
    </r>
  </si>
  <si>
    <r>
      <t>rd = SignExt((rs1</t>
    </r>
    <r>
      <rPr>
        <vertAlign val="subscript"/>
        <sz val="11"/>
        <color rgb="FFA31515"/>
        <rFont val="Consolas"/>
        <family val="3"/>
      </rPr>
      <t>31:0</t>
    </r>
    <r>
      <rPr>
        <sz val="11"/>
        <color rgb="FFA31515"/>
        <rFont val="Consolas"/>
        <family val="3"/>
      </rPr>
      <t xml:space="preserve"> &lt;&lt; uimm)</t>
    </r>
    <r>
      <rPr>
        <vertAlign val="subscript"/>
        <sz val="11"/>
        <color rgb="FFA31515"/>
        <rFont val="Consolas"/>
        <family val="3"/>
      </rPr>
      <t>31:0</t>
    </r>
    <r>
      <rPr>
        <sz val="11"/>
        <color rgb="FFA31515"/>
        <rFont val="Consolas"/>
        <family val="3"/>
      </rPr>
      <t>)</t>
    </r>
  </si>
  <si>
    <t>srliw</t>
  </si>
  <si>
    <r>
      <t>srliw</t>
    </r>
    <r>
      <rPr>
        <sz val="11"/>
        <color rgb="FF3B3B3B"/>
        <rFont val="Consolas"/>
        <family val="3"/>
      </rPr>
      <t xml:space="preserve">  rd, rs1</t>
    </r>
  </si>
  <si>
    <r>
      <t>rd = SignExt((rs1</t>
    </r>
    <r>
      <rPr>
        <vertAlign val="subscript"/>
        <sz val="11"/>
        <color rgb="FFA31515"/>
        <rFont val="Consolas"/>
        <family val="3"/>
      </rPr>
      <t>31:0</t>
    </r>
    <r>
      <rPr>
        <sz val="11"/>
        <color rgb="FFA31515"/>
        <rFont val="Consolas"/>
        <family val="3"/>
      </rPr>
      <t xml:space="preserve"> &gt;&gt; uimm)</t>
    </r>
    <r>
      <rPr>
        <vertAlign val="subscript"/>
        <sz val="11"/>
        <color rgb="FFA31515"/>
        <rFont val="Consolas"/>
        <family val="3"/>
      </rPr>
      <t>31:0</t>
    </r>
    <r>
      <rPr>
        <sz val="11"/>
        <color rgb="FFA31515"/>
        <rFont val="Consolas"/>
        <family val="3"/>
      </rPr>
      <t>)</t>
    </r>
  </si>
  <si>
    <t>sraiw</t>
  </si>
  <si>
    <r>
      <t>sraiw</t>
    </r>
    <r>
      <rPr>
        <sz val="11"/>
        <color rgb="FF3B3B3B"/>
        <rFont val="Consolas"/>
        <family val="3"/>
      </rPr>
      <t xml:space="preserve">  rd, rs1</t>
    </r>
  </si>
  <si>
    <r>
      <t>rd = SignExt((rs1</t>
    </r>
    <r>
      <rPr>
        <vertAlign val="subscript"/>
        <sz val="11"/>
        <color rgb="FFA31515"/>
        <rFont val="Consolas"/>
        <family val="3"/>
      </rPr>
      <t>31:0</t>
    </r>
    <r>
      <rPr>
        <sz val="11"/>
        <color rgb="FFA31515"/>
        <rFont val="Consolas"/>
        <family val="3"/>
      </rPr>
      <t xml:space="preserve"> &gt;&gt;&gt; uimm)</t>
    </r>
    <r>
      <rPr>
        <vertAlign val="subscript"/>
        <sz val="11"/>
        <color rgb="FFA31515"/>
        <rFont val="Consolas"/>
        <family val="3"/>
      </rPr>
      <t>31:0</t>
    </r>
    <r>
      <rPr>
        <sz val="11"/>
        <color rgb="FFA31515"/>
        <rFont val="Consolas"/>
        <family val="3"/>
      </rPr>
      <t>)</t>
    </r>
  </si>
  <si>
    <t>sd</t>
  </si>
  <si>
    <r>
      <t>sd</t>
    </r>
    <r>
      <rPr>
        <sz val="11"/>
        <color rgb="FF3B3B3B"/>
        <rFont val="Consolas"/>
        <family val="3"/>
      </rPr>
      <t xml:space="preserve"> rs2, imm(rs1)</t>
    </r>
  </si>
  <si>
    <t>:0 = rs2</t>
  </si>
  <si>
    <t>addw</t>
  </si>
  <si>
    <r>
      <t>addw</t>
    </r>
    <r>
      <rPr>
        <sz val="11"/>
        <color rgb="FF3B3B3B"/>
        <rFont val="Consolas"/>
        <family val="3"/>
      </rPr>
      <t xml:space="preserve"> rd, rs1</t>
    </r>
  </si>
  <si>
    <r>
      <t>rd = SignExt((rs1 + rs2)</t>
    </r>
    <r>
      <rPr>
        <vertAlign val="subscript"/>
        <sz val="11"/>
        <color rgb="FFA31515"/>
        <rFont val="Consolas"/>
        <family val="3"/>
      </rPr>
      <t>31:0</t>
    </r>
    <r>
      <rPr>
        <sz val="11"/>
        <color rgb="FFA31515"/>
        <rFont val="Consolas"/>
        <family val="3"/>
      </rPr>
      <t>)</t>
    </r>
  </si>
  <si>
    <t>subw</t>
  </si>
  <si>
    <r>
      <t>subw</t>
    </r>
    <r>
      <rPr>
        <sz val="11"/>
        <color rgb="FF3B3B3B"/>
        <rFont val="Consolas"/>
        <family val="3"/>
      </rPr>
      <t xml:space="preserve"> rd, rs1</t>
    </r>
  </si>
  <si>
    <r>
      <t>rd = SignExt((rs1 — rs2)</t>
    </r>
    <r>
      <rPr>
        <vertAlign val="subscript"/>
        <sz val="11"/>
        <color rgb="FFA31515"/>
        <rFont val="Consolas"/>
        <family val="3"/>
      </rPr>
      <t>31:0</t>
    </r>
    <r>
      <rPr>
        <sz val="11"/>
        <color rgb="FFA31515"/>
        <rFont val="Consolas"/>
        <family val="3"/>
      </rPr>
      <t>)</t>
    </r>
  </si>
  <si>
    <t>sllw</t>
  </si>
  <si>
    <r>
      <t>sllw</t>
    </r>
    <r>
      <rPr>
        <sz val="11"/>
        <color rgb="FF3B3B3B"/>
        <rFont val="Consolas"/>
        <family val="3"/>
      </rPr>
      <t xml:space="preserve"> rd, rs1</t>
    </r>
  </si>
  <si>
    <r>
      <t>rd = SignExt((rs1</t>
    </r>
    <r>
      <rPr>
        <vertAlign val="subscript"/>
        <sz val="11"/>
        <color rgb="FFA31515"/>
        <rFont val="Consolas"/>
        <family val="3"/>
      </rPr>
      <t>31:0</t>
    </r>
    <r>
      <rPr>
        <sz val="11"/>
        <color rgb="FFA31515"/>
        <rFont val="Consolas"/>
        <family val="3"/>
      </rPr>
      <t xml:space="preserve"> &lt;&lt; rs24:0)</t>
    </r>
    <r>
      <rPr>
        <vertAlign val="subscript"/>
        <sz val="11"/>
        <color rgb="FFA31515"/>
        <rFont val="Consolas"/>
        <family val="3"/>
      </rPr>
      <t>31:0</t>
    </r>
    <r>
      <rPr>
        <sz val="11"/>
        <color rgb="FFA31515"/>
        <rFont val="Consolas"/>
        <family val="3"/>
      </rPr>
      <t>)</t>
    </r>
  </si>
  <si>
    <t>srlw</t>
  </si>
  <si>
    <r>
      <t>srlw</t>
    </r>
    <r>
      <rPr>
        <sz val="11"/>
        <color rgb="FF3B3B3B"/>
        <rFont val="Consolas"/>
        <family val="3"/>
      </rPr>
      <t xml:space="preserve"> rd, rs1</t>
    </r>
  </si>
  <si>
    <r>
      <t>rd = SignExt((rs1</t>
    </r>
    <r>
      <rPr>
        <vertAlign val="subscript"/>
        <sz val="11"/>
        <color rgb="FFA31515"/>
        <rFont val="Consolas"/>
        <family val="3"/>
      </rPr>
      <t>31:0</t>
    </r>
    <r>
      <rPr>
        <sz val="11"/>
        <color rgb="FFA31515"/>
        <rFont val="Consolas"/>
        <family val="3"/>
      </rPr>
      <t xml:space="preserve"> &gt;&gt; rs24:0)</t>
    </r>
    <r>
      <rPr>
        <vertAlign val="subscript"/>
        <sz val="11"/>
        <color rgb="FFA31515"/>
        <rFont val="Consolas"/>
        <family val="3"/>
      </rPr>
      <t>31:0</t>
    </r>
    <r>
      <rPr>
        <sz val="11"/>
        <color rgb="FFA31515"/>
        <rFont val="Consolas"/>
        <family val="3"/>
      </rPr>
      <t>)</t>
    </r>
  </si>
  <si>
    <t>sraw</t>
  </si>
  <si>
    <r>
      <t>sraw</t>
    </r>
    <r>
      <rPr>
        <sz val="11"/>
        <color rgb="FF3B3B3B"/>
        <rFont val="Consolas"/>
        <family val="3"/>
      </rPr>
      <t xml:space="preserve"> rd, rs1</t>
    </r>
  </si>
  <si>
    <r>
      <t>rd = SignExt((rs1</t>
    </r>
    <r>
      <rPr>
        <vertAlign val="subscript"/>
        <sz val="11"/>
        <color rgb="FFA31515"/>
        <rFont val="Consolas"/>
        <family val="3"/>
      </rPr>
      <t>31:0</t>
    </r>
    <r>
      <rPr>
        <sz val="11"/>
        <color rgb="FFA31515"/>
        <rFont val="Consolas"/>
        <family val="3"/>
      </rPr>
      <t xml:space="preserve"> &gt;&gt;&gt; rs24:0)</t>
    </r>
    <r>
      <rPr>
        <vertAlign val="subscript"/>
        <sz val="11"/>
        <color rgb="FFA31515"/>
        <rFont val="Consolas"/>
        <family val="3"/>
      </rPr>
      <t>31:0</t>
    </r>
    <r>
      <rPr>
        <sz val="11"/>
        <color rgb="FFA31515"/>
        <rFont val="Consolas"/>
        <family val="3"/>
      </rPr>
      <t>)</t>
    </r>
  </si>
  <si>
    <t>I - Type</t>
  </si>
  <si>
    <t>U - Type</t>
  </si>
  <si>
    <t>J - Type</t>
  </si>
  <si>
    <t>B - Type</t>
  </si>
  <si>
    <t>S - Type</t>
  </si>
  <si>
    <t>R - Type</t>
  </si>
  <si>
    <t>rd</t>
  </si>
  <si>
    <t>rs1</t>
  </si>
  <si>
    <t>12 bit</t>
  </si>
  <si>
    <t>Assembly Instruction</t>
  </si>
  <si>
    <t>0xFF4</t>
  </si>
  <si>
    <t>--&gt; imm</t>
  </si>
  <si>
    <t>Type</t>
  </si>
  <si>
    <t>imm[11:0]</t>
  </si>
  <si>
    <t>funct3</t>
  </si>
  <si>
    <t>Navigation</t>
  </si>
  <si>
    <t>Digitalize</t>
  </si>
  <si>
    <t>Binary</t>
  </si>
  <si>
    <t>Hexadecial</t>
  </si>
  <si>
    <t>20 bit</t>
  </si>
  <si>
    <t>0xAFFFC</t>
  </si>
  <si>
    <t>=</t>
  </si>
  <si>
    <t>imm 31:12</t>
  </si>
  <si>
    <t>PC</t>
  </si>
  <si>
    <t>0x00500000</t>
  </si>
  <si>
    <t>(</t>
  </si>
  <si>
    <t>)</t>
  </si>
  <si>
    <t>21 bit, số chẵn</t>
  </si>
  <si>
    <t>+</t>
  </si>
  <si>
    <t>0x10000C</t>
  </si>
  <si>
    <t>PC+4</t>
  </si>
  <si>
    <t>imm20,10:1,11,19:12</t>
  </si>
  <si>
    <t>0x0040100</t>
  </si>
  <si>
    <t>rs2</t>
  </si>
  <si>
    <t>13 bit, số chẵn</t>
  </si>
  <si>
    <t>0xFE0</t>
  </si>
  <si>
    <t>imm[12], imm[10:5]</t>
  </si>
  <si>
    <t>imm [4:1], imm[11]</t>
  </si>
  <si>
    <t>0x150</t>
  </si>
  <si>
    <t>imm[11:5]</t>
  </si>
  <si>
    <t>imm [4:0]</t>
  </si>
  <si>
    <t>funct7</t>
  </si>
  <si>
    <t>Local IP</t>
  </si>
  <si>
    <t>SPLIT IP</t>
  </si>
  <si>
    <t>IP in Hex</t>
  </si>
  <si>
    <t>IP in Bit</t>
  </si>
  <si>
    <t>Network IP</t>
  </si>
  <si>
    <t>subnet</t>
  </si>
  <si>
    <t>255.255.255.0</t>
  </si>
  <si>
    <t>IP Hương</t>
  </si>
  <si>
    <t>192.168.33.8</t>
  </si>
  <si>
    <t>IP Đạt</t>
  </si>
  <si>
    <t>192.168.33.212</t>
  </si>
  <si>
    <t>Qui định</t>
  </si>
  <si>
    <t>BIT 0</t>
  </si>
  <si>
    <t>=0 ko đi được / =1 đi được</t>
  </si>
  <si>
    <t>Bit 1</t>
  </si>
  <si>
    <t>Bit 3</t>
  </si>
  <si>
    <t>Bit 2</t>
  </si>
  <si>
    <t>Giá trị tương ứng</t>
  </si>
  <si>
    <t>Mặt nạ xác định hướng dịch chuyển</t>
  </si>
  <si>
    <t>0010</t>
  </si>
  <si>
    <t>Kêt quả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</si>
</sst>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4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 tint="-0.34998626667073579"/>
      <name val="Aptos Narrow"/>
      <family val="2"/>
      <scheme val="minor"/>
    </font>
    <font>
      <sz val="11"/>
      <color theme="8" tint="-0.249977111117893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22"/>
      <color theme="1"/>
      <name val="Aptos Narrow"/>
      <family val="2"/>
      <scheme val="minor"/>
    </font>
    <font>
      <sz val="24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28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8" tint="-0.249977111117893"/>
      <name val="Aptos Narrow"/>
      <family val="2"/>
      <scheme val="minor"/>
    </font>
    <font>
      <b/>
      <sz val="11"/>
      <color theme="3" tint="0.249977111117893"/>
      <name val="Aptos Narrow"/>
      <family val="2"/>
      <scheme val="minor"/>
    </font>
    <font>
      <b/>
      <sz val="11"/>
      <color theme="9" tint="-0.249977111117893"/>
      <name val="Aptos Narrow"/>
      <family val="2"/>
      <scheme val="minor"/>
    </font>
    <font>
      <sz val="11"/>
      <color theme="0" tint="-0.499984740745262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3B3B3B"/>
      <name val="Consolas"/>
      <family val="3"/>
    </font>
    <font>
      <sz val="11"/>
      <color rgb="FF795E26"/>
      <name val="Consolas"/>
      <family val="3"/>
    </font>
    <font>
      <sz val="11"/>
      <color rgb="FF098658"/>
      <name val="Consolas"/>
      <family val="3"/>
    </font>
    <font>
      <sz val="11"/>
      <color rgb="FFA31515"/>
      <name val="Consolas"/>
      <family val="3"/>
    </font>
    <font>
      <sz val="11"/>
      <color rgb="FFFF0000"/>
      <name val="Aptos Narrow"/>
      <family val="2"/>
      <scheme val="minor"/>
    </font>
    <font>
      <sz val="11"/>
      <color theme="0"/>
      <name val="Aptos Narrow"/>
      <family val="2"/>
      <scheme val="minor"/>
    </font>
    <font>
      <vertAlign val="subscript"/>
      <sz val="11"/>
      <color rgb="FFA31515"/>
      <name val="Consolas"/>
      <family val="3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sz val="11"/>
      <color theme="0"/>
      <name val="Courier New"/>
      <family val="3"/>
    </font>
    <font>
      <sz val="11"/>
      <color rgb="FF098658"/>
      <name val="Courier New"/>
      <family val="3"/>
    </font>
    <font>
      <sz val="11"/>
      <color theme="1"/>
      <name val="Courier New"/>
      <family val="3"/>
    </font>
    <font>
      <b/>
      <sz val="11"/>
      <color theme="1"/>
      <name val="Courier New"/>
      <family val="3"/>
    </font>
    <font>
      <b/>
      <sz val="11"/>
      <color rgb="FFFF0000"/>
      <name val="Courier New"/>
      <family val="3"/>
    </font>
    <font>
      <b/>
      <sz val="11"/>
      <color theme="7" tint="-0.249977111117893"/>
      <name val="Aptos Narrow"/>
      <family val="2"/>
      <scheme val="minor"/>
    </font>
    <font>
      <b/>
      <sz val="11"/>
      <color theme="0" tint="-0.34998626667073579"/>
      <name val="Aptos Narrow"/>
      <family val="2"/>
      <scheme val="minor"/>
    </font>
    <font>
      <b/>
      <sz val="11"/>
      <color rgb="FF0070C0"/>
      <name val="Aptos Narrow"/>
      <family val="2"/>
      <scheme val="minor"/>
    </font>
    <font>
      <sz val="11"/>
      <color rgb="FF0070C0"/>
      <name val="Aptos Narrow"/>
      <family val="2"/>
      <scheme val="minor"/>
    </font>
    <font>
      <sz val="11"/>
      <color rgb="FF795E26"/>
      <name val="Courier New"/>
      <family val="3"/>
    </font>
    <font>
      <b/>
      <sz val="11"/>
      <color rgb="FF0070C0"/>
      <name val="Courier New"/>
      <family val="3"/>
    </font>
    <font>
      <i/>
      <sz val="11"/>
      <color theme="1"/>
      <name val="Aptos Narrow"/>
      <family val="2"/>
      <scheme val="minor"/>
    </font>
    <font>
      <b/>
      <sz val="11"/>
      <color rgb="FF00B050"/>
      <name val="Aptos Narrow"/>
      <family val="2"/>
      <scheme val="minor"/>
    </font>
    <font>
      <b/>
      <sz val="11"/>
      <color theme="5" tint="0.39997558519241921"/>
      <name val="Aptos Narrow"/>
      <family val="2"/>
      <scheme val="minor"/>
    </font>
    <font>
      <sz val="11"/>
      <color theme="5" tint="0.39997558519241921"/>
      <name val="Aptos Narrow"/>
      <family val="2"/>
      <scheme val="minor"/>
    </font>
    <font>
      <i/>
      <sz val="9"/>
      <color theme="1"/>
      <name val="Aptos Narrow"/>
      <family val="2"/>
      <scheme val="minor"/>
    </font>
    <font>
      <sz val="8"/>
      <color theme="1"/>
      <name val="Aptos Narrow"/>
      <family val="2"/>
      <scheme val="minor"/>
    </font>
    <font>
      <vertAlign val="subscript"/>
      <sz val="11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i/>
      <sz val="10"/>
      <color theme="1"/>
      <name val="Aptos Narrow"/>
      <family val="2"/>
      <scheme val="minor"/>
    </font>
    <font>
      <sz val="9"/>
      <color rgb="FFFF0000"/>
      <name val="Aptos Narrow"/>
      <family val="2"/>
      <scheme val="minor"/>
    </font>
    <font>
      <b/>
      <sz val="15"/>
      <color theme="3"/>
      <name val="Aptos Narrow"/>
      <family val="2"/>
      <scheme val="minor"/>
    </font>
    <font>
      <sz val="11"/>
      <color theme="7" tint="-0.499984740745262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1"/>
      <color rgb="FF000099"/>
      <name val="Aptos Narrow"/>
      <family val="2"/>
      <scheme val="minor"/>
    </font>
    <font>
      <sz val="11"/>
      <color theme="1" tint="0.34998626667073579"/>
      <name val="Aptos Narrow"/>
      <family val="2"/>
      <scheme val="minor"/>
    </font>
    <font>
      <b/>
      <sz val="11"/>
      <name val="Aptos Narrow"/>
      <family val="2"/>
      <scheme val="minor"/>
    </font>
    <font>
      <sz val="11"/>
      <color theme="1" tint="0.249977111117893"/>
      <name val="Aptos Narrow"/>
      <family val="2"/>
      <scheme val="minor"/>
    </font>
    <font>
      <sz val="11"/>
      <color theme="4" tint="-0.249977111117893"/>
      <name val="Aptos Narrow"/>
      <family val="2"/>
      <scheme val="minor"/>
    </font>
    <font>
      <sz val="11"/>
      <color theme="7" tint="-0.249977111117893"/>
      <name val="Aptos Narrow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3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Dashed">
        <color indexed="64"/>
      </bottom>
      <diagonal/>
    </border>
    <border>
      <left style="mediumDashed">
        <color indexed="64"/>
      </left>
      <right/>
      <top style="medium">
        <color indexed="64"/>
      </top>
      <bottom style="mediumDashed">
        <color indexed="64"/>
      </bottom>
      <diagonal/>
    </border>
    <border>
      <left style="mediumDashed">
        <color indexed="64"/>
      </left>
      <right/>
      <top/>
      <bottom/>
      <diagonal/>
    </border>
    <border>
      <left style="mediumDashed">
        <color indexed="64"/>
      </left>
      <right/>
      <top/>
      <bottom style="medium">
        <color indexed="64"/>
      </bottom>
      <diagonal/>
    </border>
    <border diagonalUp="1" diagonalDown="1">
      <left/>
      <right/>
      <top/>
      <bottom/>
      <diagonal style="thin">
        <color auto="1"/>
      </diagonal>
    </border>
    <border>
      <left/>
      <right style="mediumDashed">
        <color indexed="64"/>
      </right>
      <top/>
      <bottom/>
      <diagonal/>
    </border>
    <border diagonalUp="1">
      <left/>
      <right/>
      <top/>
      <bottom/>
      <diagonal style="thin">
        <color auto="1"/>
      </diagonal>
    </border>
    <border>
      <left/>
      <right style="thin">
        <color indexed="64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Dashed">
        <color indexed="64"/>
      </right>
      <top/>
      <bottom style="medium">
        <color indexed="64"/>
      </bottom>
      <diagonal/>
    </border>
    <border>
      <left style="mediumDashed">
        <color indexed="64"/>
      </left>
      <right/>
      <top style="medium">
        <color indexed="64"/>
      </top>
      <bottom style="medium">
        <color indexed="64"/>
      </bottom>
      <diagonal/>
    </border>
    <border>
      <left style="mediumDashed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Dashed">
        <color indexed="64"/>
      </left>
      <right/>
      <top style="mediumDashed">
        <color indexed="64"/>
      </top>
      <bottom style="mediumDashed">
        <color indexed="64"/>
      </bottom>
      <diagonal/>
    </border>
    <border>
      <left/>
      <right/>
      <top style="mediumDashed">
        <color indexed="64"/>
      </top>
      <bottom style="mediumDashed">
        <color indexed="64"/>
      </bottom>
      <diagonal/>
    </border>
    <border>
      <left/>
      <right style="mediumDashed">
        <color indexed="64"/>
      </right>
      <top style="mediumDashed">
        <color indexed="64"/>
      </top>
      <bottom style="mediumDashed">
        <color indexed="64"/>
      </bottom>
      <diagonal/>
    </border>
    <border>
      <left/>
      <right/>
      <top/>
      <bottom style="mediumDashed">
        <color indexed="64"/>
      </bottom>
      <diagonal/>
    </border>
  </borders>
  <cellStyleXfs count="3">
    <xf numFmtId="0" fontId="0" fillId="0" borderId="0"/>
    <xf numFmtId="0" fontId="45" fillId="0" borderId="13" applyNumberFormat="0" applyFill="0" applyAlignment="0" applyProtection="0"/>
    <xf numFmtId="0" fontId="47" fillId="0" borderId="0" applyNumberFormat="0" applyFill="0" applyBorder="0" applyAlignment="0" applyProtection="0"/>
  </cellStyleXfs>
  <cellXfs count="206">
    <xf numFmtId="0" fontId="0" fillId="0" borderId="0" xfId="0"/>
    <xf numFmtId="0" fontId="1" fillId="0" borderId="0" xfId="0" applyFont="1"/>
    <xf numFmtId="0" fontId="2" fillId="0" borderId="0" xfId="0" applyFont="1" applyAlignment="1">
      <alignment shrinkToFit="1"/>
    </xf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/>
    <xf numFmtId="0" fontId="0" fillId="4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0" fillId="6" borderId="0" xfId="0" applyFill="1"/>
    <xf numFmtId="0" fontId="0" fillId="6" borderId="0" xfId="0" applyFill="1" applyAlignment="1">
      <alignment horizontal="center"/>
    </xf>
    <xf numFmtId="0" fontId="0" fillId="5" borderId="0" xfId="0" applyFill="1"/>
    <xf numFmtId="0" fontId="0" fillId="2" borderId="0" xfId="0" applyFill="1"/>
    <xf numFmtId="0" fontId="0" fillId="4" borderId="0" xfId="0" applyFill="1"/>
    <xf numFmtId="0" fontId="6" fillId="0" borderId="0" xfId="0" applyFont="1"/>
    <xf numFmtId="0" fontId="4" fillId="0" borderId="0" xfId="0" quotePrefix="1" applyFont="1"/>
    <xf numFmtId="0" fontId="5" fillId="6" borderId="0" xfId="0" applyFont="1" applyFill="1" applyAlignment="1">
      <alignment horizontal="center"/>
    </xf>
    <xf numFmtId="0" fontId="5" fillId="4" borderId="0" xfId="0" applyFont="1" applyFill="1" applyAlignment="1">
      <alignment horizontal="center"/>
    </xf>
    <xf numFmtId="0" fontId="5" fillId="5" borderId="0" xfId="0" applyFont="1" applyFill="1" applyAlignment="1">
      <alignment horizontal="center"/>
    </xf>
    <xf numFmtId="0" fontId="5" fillId="2" borderId="0" xfId="0" applyFont="1" applyFill="1" applyAlignment="1">
      <alignment horizontal="center"/>
    </xf>
    <xf numFmtId="0" fontId="0" fillId="0" borderId="0" xfId="0" applyAlignment="1">
      <alignment horizontal="right"/>
    </xf>
    <xf numFmtId="0" fontId="1" fillId="0" borderId="0" xfId="0" applyFont="1" applyAlignment="1">
      <alignment horizontal="right"/>
    </xf>
    <xf numFmtId="0" fontId="7" fillId="0" borderId="0" xfId="0" applyFont="1" applyAlignment="1">
      <alignment horizontal="right"/>
    </xf>
    <xf numFmtId="49" fontId="0" fillId="0" borderId="0" xfId="0" applyNumberFormat="1"/>
    <xf numFmtId="0" fontId="1" fillId="0" borderId="0" xfId="0" applyFont="1" applyAlignment="1">
      <alignment horizontal="center"/>
    </xf>
    <xf numFmtId="49" fontId="0" fillId="0" borderId="0" xfId="0" applyNumberFormat="1" applyAlignment="1">
      <alignment horizontal="center"/>
    </xf>
    <xf numFmtId="0" fontId="13" fillId="0" borderId="0" xfId="0" applyFont="1" applyAlignment="1">
      <alignment horizontal="center"/>
    </xf>
    <xf numFmtId="0" fontId="14" fillId="0" borderId="0" xfId="0" applyFont="1" applyAlignment="1">
      <alignment horizontal="center"/>
    </xf>
    <xf numFmtId="0" fontId="16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15" fillId="0" borderId="0" xfId="0" applyFont="1" applyAlignment="1">
      <alignment vertical="center"/>
    </xf>
    <xf numFmtId="0" fontId="17" fillId="0" borderId="0" xfId="0" applyFont="1" applyAlignment="1">
      <alignment vertical="center"/>
    </xf>
    <xf numFmtId="0" fontId="0" fillId="0" borderId="7" xfId="0" applyBorder="1"/>
    <xf numFmtId="0" fontId="0" fillId="0" borderId="8" xfId="0" applyBorder="1"/>
    <xf numFmtId="0" fontId="0" fillId="0" borderId="4" xfId="0" applyBorder="1"/>
    <xf numFmtId="0" fontId="10" fillId="7" borderId="2" xfId="0" applyFont="1" applyFill="1" applyBorder="1" applyAlignment="1">
      <alignment horizontal="center"/>
    </xf>
    <xf numFmtId="0" fontId="11" fillId="7" borderId="2" xfId="0" applyFont="1" applyFill="1" applyBorder="1" applyAlignment="1">
      <alignment horizontal="center"/>
    </xf>
    <xf numFmtId="0" fontId="12" fillId="7" borderId="2" xfId="0" applyFont="1" applyFill="1" applyBorder="1" applyAlignment="1">
      <alignment horizontal="center"/>
    </xf>
    <xf numFmtId="0" fontId="12" fillId="7" borderId="3" xfId="0" applyFont="1" applyFill="1" applyBorder="1" applyAlignment="1">
      <alignment horizontal="center"/>
    </xf>
    <xf numFmtId="0" fontId="1" fillId="8" borderId="1" xfId="0" applyFont="1" applyFill="1" applyBorder="1" applyAlignment="1">
      <alignment horizontal="center"/>
    </xf>
    <xf numFmtId="0" fontId="1" fillId="8" borderId="2" xfId="0" applyFont="1" applyFill="1" applyBorder="1" applyAlignment="1">
      <alignment horizontal="center"/>
    </xf>
    <xf numFmtId="0" fontId="1" fillId="8" borderId="3" xfId="0" applyFont="1" applyFill="1" applyBorder="1" applyAlignment="1">
      <alignment horizontal="center"/>
    </xf>
    <xf numFmtId="0" fontId="1" fillId="9" borderId="1" xfId="0" applyFont="1" applyFill="1" applyBorder="1" applyAlignment="1">
      <alignment horizontal="center"/>
    </xf>
    <xf numFmtId="0" fontId="1" fillId="9" borderId="2" xfId="0" applyFont="1" applyFill="1" applyBorder="1" applyAlignment="1">
      <alignment horizontal="center"/>
    </xf>
    <xf numFmtId="0" fontId="1" fillId="9" borderId="3" xfId="0" applyFont="1" applyFill="1" applyBorder="1" applyAlignment="1">
      <alignment horizontal="center"/>
    </xf>
    <xf numFmtId="0" fontId="1" fillId="10" borderId="1" xfId="0" applyFont="1" applyFill="1" applyBorder="1" applyAlignment="1">
      <alignment horizontal="center"/>
    </xf>
    <xf numFmtId="0" fontId="1" fillId="10" borderId="2" xfId="0" applyFont="1" applyFill="1" applyBorder="1" applyAlignment="1">
      <alignment horizontal="center"/>
    </xf>
    <xf numFmtId="0" fontId="1" fillId="10" borderId="3" xfId="0" applyFont="1" applyFill="1" applyBorder="1" applyAlignment="1">
      <alignment horizontal="center"/>
    </xf>
    <xf numFmtId="0" fontId="20" fillId="11" borderId="0" xfId="0" applyFont="1" applyFill="1"/>
    <xf numFmtId="0" fontId="0" fillId="0" borderId="0" xfId="0" quotePrefix="1"/>
    <xf numFmtId="0" fontId="22" fillId="0" borderId="0" xfId="0" applyFont="1" applyAlignment="1">
      <alignment horizontal="center"/>
    </xf>
    <xf numFmtId="0" fontId="22" fillId="0" borderId="0" xfId="0" applyFont="1" applyAlignment="1">
      <alignment horizontal="center" vertical="center"/>
    </xf>
    <xf numFmtId="49" fontId="26" fillId="0" borderId="0" xfId="0" applyNumberFormat="1" applyFont="1"/>
    <xf numFmtId="49" fontId="24" fillId="11" borderId="0" xfId="0" applyNumberFormat="1" applyFont="1" applyFill="1"/>
    <xf numFmtId="49" fontId="25" fillId="0" borderId="0" xfId="0" applyNumberFormat="1" applyFont="1" applyAlignment="1">
      <alignment vertical="center"/>
    </xf>
    <xf numFmtId="0" fontId="23" fillId="0" borderId="0" xfId="0" quotePrefix="1" applyFont="1"/>
    <xf numFmtId="0" fontId="2" fillId="0" borderId="0" xfId="0" applyFont="1"/>
    <xf numFmtId="49" fontId="30" fillId="0" borderId="0" xfId="0" applyNumberFormat="1" applyFont="1"/>
    <xf numFmtId="0" fontId="33" fillId="0" borderId="0" xfId="0" applyFont="1" applyAlignment="1">
      <alignment vertical="center"/>
    </xf>
    <xf numFmtId="0" fontId="20" fillId="12" borderId="0" xfId="0" applyFont="1" applyFill="1"/>
    <xf numFmtId="0" fontId="27" fillId="0" borderId="0" xfId="0" quotePrefix="1" applyFont="1"/>
    <xf numFmtId="0" fontId="31" fillId="7" borderId="2" xfId="0" applyFont="1" applyFill="1" applyBorder="1" applyAlignment="1">
      <alignment horizontal="center"/>
    </xf>
    <xf numFmtId="0" fontId="11" fillId="13" borderId="2" xfId="0" applyFont="1" applyFill="1" applyBorder="1" applyAlignment="1">
      <alignment horizontal="center"/>
    </xf>
    <xf numFmtId="0" fontId="12" fillId="13" borderId="2" xfId="0" applyFont="1" applyFill="1" applyBorder="1" applyAlignment="1">
      <alignment horizontal="center"/>
    </xf>
    <xf numFmtId="0" fontId="12" fillId="13" borderId="3" xfId="0" applyFont="1" applyFill="1" applyBorder="1" applyAlignment="1">
      <alignment horizontal="center"/>
    </xf>
    <xf numFmtId="0" fontId="2" fillId="0" borderId="4" xfId="0" applyFont="1" applyBorder="1"/>
    <xf numFmtId="0" fontId="35" fillId="0" borderId="0" xfId="0" applyFont="1"/>
    <xf numFmtId="0" fontId="36" fillId="7" borderId="0" xfId="0" applyFont="1" applyFill="1"/>
    <xf numFmtId="0" fontId="38" fillId="7" borderId="0" xfId="0" applyFont="1" applyFill="1"/>
    <xf numFmtId="0" fontId="37" fillId="7" borderId="2" xfId="0" applyFont="1" applyFill="1" applyBorder="1" applyAlignment="1">
      <alignment horizontal="center"/>
    </xf>
    <xf numFmtId="0" fontId="37" fillId="7" borderId="3" xfId="0" applyFont="1" applyFill="1" applyBorder="1" applyAlignment="1">
      <alignment horizontal="center"/>
    </xf>
    <xf numFmtId="0" fontId="23" fillId="7" borderId="1" xfId="0" applyFont="1" applyFill="1" applyBorder="1" applyAlignment="1">
      <alignment horizontal="center"/>
    </xf>
    <xf numFmtId="0" fontId="23" fillId="7" borderId="0" xfId="0" applyFont="1" applyFill="1"/>
    <xf numFmtId="0" fontId="32" fillId="7" borderId="0" xfId="0" applyFont="1" applyFill="1"/>
    <xf numFmtId="0" fontId="31" fillId="7" borderId="1" xfId="0" applyFont="1" applyFill="1" applyBorder="1" applyAlignment="1">
      <alignment horizontal="center"/>
    </xf>
    <xf numFmtId="0" fontId="0" fillId="14" borderId="0" xfId="0" applyFill="1"/>
    <xf numFmtId="0" fontId="0" fillId="14" borderId="0" xfId="0" applyFill="1" applyAlignment="1">
      <alignment horizontal="center"/>
    </xf>
    <xf numFmtId="0" fontId="39" fillId="0" borderId="0" xfId="0" applyFont="1" applyAlignment="1">
      <alignment horizontal="right"/>
    </xf>
    <xf numFmtId="0" fontId="40" fillId="0" borderId="0" xfId="0" quotePrefix="1" applyFont="1"/>
    <xf numFmtId="0" fontId="27" fillId="14" borderId="0" xfId="0" applyFont="1" applyFill="1" applyAlignment="1">
      <alignment horizontal="center" justifyLastLine="1" shrinkToFit="1"/>
    </xf>
    <xf numFmtId="0" fontId="0" fillId="0" borderId="10" xfId="0" applyBorder="1" applyAlignment="1">
      <alignment horizontal="center"/>
    </xf>
    <xf numFmtId="0" fontId="43" fillId="0" borderId="0" xfId="0" applyFont="1"/>
    <xf numFmtId="0" fontId="35" fillId="0" borderId="11" xfId="0" applyFont="1" applyBorder="1"/>
    <xf numFmtId="0" fontId="27" fillId="14" borderId="9" xfId="0" applyFont="1" applyFill="1" applyBorder="1" applyAlignment="1">
      <alignment horizontal="center" justifyLastLine="1" shrinkToFit="1"/>
    </xf>
    <xf numFmtId="0" fontId="0" fillId="14" borderId="9" xfId="0" applyFill="1" applyBorder="1" applyAlignment="1">
      <alignment horizontal="center"/>
    </xf>
    <xf numFmtId="0" fontId="44" fillId="0" borderId="8" xfId="0" applyFont="1" applyBorder="1"/>
    <xf numFmtId="0" fontId="0" fillId="0" borderId="12" xfId="0" applyBorder="1"/>
    <xf numFmtId="0" fontId="0" fillId="15" borderId="15" xfId="0" applyFill="1" applyBorder="1"/>
    <xf numFmtId="0" fontId="0" fillId="15" borderId="16" xfId="0" applyFill="1" applyBorder="1"/>
    <xf numFmtId="0" fontId="0" fillId="15" borderId="18" xfId="0" applyFill="1" applyBorder="1"/>
    <xf numFmtId="0" fontId="35" fillId="15" borderId="0" xfId="0" applyFont="1" applyFill="1" applyAlignment="1">
      <alignment horizontal="right"/>
    </xf>
    <xf numFmtId="0" fontId="0" fillId="15" borderId="14" xfId="0" applyFill="1" applyBorder="1"/>
    <xf numFmtId="0" fontId="35" fillId="15" borderId="14" xfId="0" applyFont="1" applyFill="1" applyBorder="1" applyAlignment="1">
      <alignment horizontal="right"/>
    </xf>
    <xf numFmtId="0" fontId="0" fillId="15" borderId="21" xfId="0" applyFill="1" applyBorder="1"/>
    <xf numFmtId="0" fontId="41" fillId="15" borderId="14" xfId="0" applyFont="1" applyFill="1" applyBorder="1"/>
    <xf numFmtId="0" fontId="22" fillId="7" borderId="9" xfId="0" applyFont="1" applyFill="1" applyBorder="1"/>
    <xf numFmtId="0" fontId="47" fillId="6" borderId="0" xfId="2" applyFill="1"/>
    <xf numFmtId="0" fontId="46" fillId="6" borderId="0" xfId="0" applyFont="1" applyFill="1"/>
    <xf numFmtId="0" fontId="0" fillId="7" borderId="1" xfId="0" applyFill="1" applyBorder="1"/>
    <xf numFmtId="0" fontId="0" fillId="7" borderId="2" xfId="0" applyFill="1" applyBorder="1"/>
    <xf numFmtId="0" fontId="0" fillId="7" borderId="3" xfId="0" applyFill="1" applyBorder="1"/>
    <xf numFmtId="0" fontId="31" fillId="9" borderId="2" xfId="0" applyFont="1" applyFill="1" applyBorder="1" applyAlignment="1">
      <alignment horizontal="center"/>
    </xf>
    <xf numFmtId="0" fontId="36" fillId="9" borderId="3" xfId="0" applyFont="1" applyFill="1" applyBorder="1" applyAlignment="1">
      <alignment horizontal="center"/>
    </xf>
    <xf numFmtId="0" fontId="3" fillId="7" borderId="1" xfId="0" applyFont="1" applyFill="1" applyBorder="1"/>
    <xf numFmtId="0" fontId="3" fillId="7" borderId="2" xfId="0" applyFont="1" applyFill="1" applyBorder="1"/>
    <xf numFmtId="0" fontId="3" fillId="7" borderId="3" xfId="0" applyFont="1" applyFill="1" applyBorder="1"/>
    <xf numFmtId="0" fontId="48" fillId="7" borderId="2" xfId="0" applyFont="1" applyFill="1" applyBorder="1" applyAlignment="1">
      <alignment horizontal="center"/>
    </xf>
    <xf numFmtId="0" fontId="48" fillId="7" borderId="3" xfId="0" applyFont="1" applyFill="1" applyBorder="1" applyAlignment="1">
      <alignment horizontal="center"/>
    </xf>
    <xf numFmtId="0" fontId="3" fillId="7" borderId="22" xfId="0" applyFont="1" applyFill="1" applyBorder="1"/>
    <xf numFmtId="0" fontId="3" fillId="7" borderId="23" xfId="0" applyFont="1" applyFill="1" applyBorder="1"/>
    <xf numFmtId="0" fontId="3" fillId="7" borderId="24" xfId="0" applyFont="1" applyFill="1" applyBorder="1"/>
    <xf numFmtId="0" fontId="3" fillId="7" borderId="26" xfId="0" applyFont="1" applyFill="1" applyBorder="1"/>
    <xf numFmtId="0" fontId="0" fillId="7" borderId="27" xfId="0" applyFill="1" applyBorder="1"/>
    <xf numFmtId="0" fontId="37" fillId="7" borderId="26" xfId="0" applyFont="1" applyFill="1" applyBorder="1" applyAlignment="1">
      <alignment horizontal="center"/>
    </xf>
    <xf numFmtId="0" fontId="12" fillId="7" borderId="26" xfId="0" applyFont="1" applyFill="1" applyBorder="1" applyAlignment="1">
      <alignment horizontal="center"/>
    </xf>
    <xf numFmtId="0" fontId="48" fillId="7" borderId="26" xfId="0" applyFont="1" applyFill="1" applyBorder="1" applyAlignment="1">
      <alignment horizontal="center"/>
    </xf>
    <xf numFmtId="0" fontId="36" fillId="7" borderId="27" xfId="0" applyFont="1" applyFill="1" applyBorder="1" applyAlignment="1">
      <alignment horizontal="center"/>
    </xf>
    <xf numFmtId="0" fontId="48" fillId="7" borderId="0" xfId="0" applyFont="1" applyFill="1"/>
    <xf numFmtId="0" fontId="48" fillId="7" borderId="0" xfId="0" quotePrefix="1" applyFont="1" applyFill="1"/>
    <xf numFmtId="0" fontId="49" fillId="0" borderId="28" xfId="0" applyFont="1" applyBorder="1"/>
    <xf numFmtId="0" fontId="49" fillId="0" borderId="29" xfId="0" applyFont="1" applyBorder="1"/>
    <xf numFmtId="0" fontId="0" fillId="7" borderId="9" xfId="0" applyFill="1" applyBorder="1" applyAlignment="1">
      <alignment horizontal="center"/>
    </xf>
    <xf numFmtId="0" fontId="1" fillId="8" borderId="23" xfId="0" applyFont="1" applyFill="1" applyBorder="1" applyAlignment="1">
      <alignment horizontal="center"/>
    </xf>
    <xf numFmtId="0" fontId="1" fillId="8" borderId="24" xfId="0" applyFont="1" applyFill="1" applyBorder="1" applyAlignment="1">
      <alignment horizontal="center"/>
    </xf>
    <xf numFmtId="0" fontId="49" fillId="0" borderId="30" xfId="0" applyFont="1" applyBorder="1"/>
    <xf numFmtId="0" fontId="0" fillId="0" borderId="31" xfId="0" applyBorder="1"/>
    <xf numFmtId="0" fontId="52" fillId="7" borderId="2" xfId="0" applyFont="1" applyFill="1" applyBorder="1" applyAlignment="1">
      <alignment horizontal="center"/>
    </xf>
    <xf numFmtId="0" fontId="52" fillId="7" borderId="3" xfId="0" applyFont="1" applyFill="1" applyBorder="1" applyAlignment="1">
      <alignment horizontal="center"/>
    </xf>
    <xf numFmtId="0" fontId="52" fillId="7" borderId="0" xfId="0" applyFont="1" applyFill="1"/>
    <xf numFmtId="0" fontId="52" fillId="7" borderId="0" xfId="0" quotePrefix="1" applyFont="1" applyFill="1"/>
    <xf numFmtId="0" fontId="45" fillId="0" borderId="13" xfId="1" applyAlignment="1">
      <alignment horizontal="center"/>
    </xf>
    <xf numFmtId="0" fontId="29" fillId="7" borderId="1" xfId="0" applyFont="1" applyFill="1" applyBorder="1" applyAlignment="1">
      <alignment horizontal="center"/>
    </xf>
    <xf numFmtId="0" fontId="29" fillId="7" borderId="2" xfId="0" applyFont="1" applyFill="1" applyBorder="1" applyAlignment="1">
      <alignment horizontal="center"/>
    </xf>
    <xf numFmtId="0" fontId="29" fillId="7" borderId="3" xfId="0" applyFont="1" applyFill="1" applyBorder="1" applyAlignment="1">
      <alignment horizontal="center"/>
    </xf>
    <xf numFmtId="0" fontId="53" fillId="7" borderId="0" xfId="0" applyFont="1" applyFill="1"/>
    <xf numFmtId="0" fontId="29" fillId="9" borderId="1" xfId="0" applyFont="1" applyFill="1" applyBorder="1" applyAlignment="1">
      <alignment horizontal="center"/>
    </xf>
    <xf numFmtId="0" fontId="29" fillId="9" borderId="2" xfId="0" applyFont="1" applyFill="1" applyBorder="1" applyAlignment="1">
      <alignment horizontal="center"/>
    </xf>
    <xf numFmtId="0" fontId="29" fillId="9" borderId="3" xfId="0" applyFont="1" applyFill="1" applyBorder="1" applyAlignment="1">
      <alignment horizontal="center"/>
    </xf>
    <xf numFmtId="0" fontId="14" fillId="0" borderId="0" xfId="0" applyFont="1" applyAlignment="1">
      <alignment horizontal="right"/>
    </xf>
    <xf numFmtId="0" fontId="50" fillId="8" borderId="1" xfId="0" applyFont="1" applyFill="1" applyBorder="1"/>
    <xf numFmtId="0" fontId="50" fillId="8" borderId="2" xfId="0" applyFont="1" applyFill="1" applyBorder="1"/>
    <xf numFmtId="0" fontId="50" fillId="8" borderId="3" xfId="0" applyFont="1" applyFill="1" applyBorder="1"/>
    <xf numFmtId="0" fontId="19" fillId="7" borderId="0" xfId="0" applyFont="1" applyFill="1"/>
    <xf numFmtId="0" fontId="19" fillId="7" borderId="1" xfId="0" applyFont="1" applyFill="1" applyBorder="1" applyAlignment="1">
      <alignment horizontal="center"/>
    </xf>
    <xf numFmtId="0" fontId="10" fillId="7" borderId="0" xfId="0" applyFont="1" applyFill="1"/>
    <xf numFmtId="0" fontId="3" fillId="7" borderId="0" xfId="0" applyFont="1" applyFill="1"/>
    <xf numFmtId="0" fontId="29" fillId="7" borderId="0" xfId="0" applyFont="1" applyFill="1"/>
    <xf numFmtId="0" fontId="12" fillId="7" borderId="0" xfId="0" applyFont="1" applyFill="1"/>
    <xf numFmtId="49" fontId="26" fillId="0" borderId="0" xfId="0" applyNumberFormat="1" applyFont="1" applyAlignment="1">
      <alignment horizontal="center" vertical="center"/>
    </xf>
    <xf numFmtId="0" fontId="0" fillId="0" borderId="7" xfId="0" applyBorder="1" applyAlignment="1">
      <alignment horizont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0" xfId="0" applyAlignment="1">
      <alignment horizont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7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0" xfId="0" applyBorder="1" applyAlignment="1">
      <alignment horizontal="center"/>
    </xf>
    <xf numFmtId="0" fontId="0" fillId="13" borderId="1" xfId="0" applyFill="1" applyBorder="1" applyAlignment="1">
      <alignment horizontal="center"/>
    </xf>
    <xf numFmtId="0" fontId="0" fillId="13" borderId="2" xfId="0" applyFill="1" applyBorder="1" applyAlignment="1">
      <alignment horizontal="center"/>
    </xf>
    <xf numFmtId="0" fontId="0" fillId="13" borderId="3" xfId="0" applyFill="1" applyBorder="1" applyAlignment="1">
      <alignment horizontal="center"/>
    </xf>
    <xf numFmtId="0" fontId="0" fillId="10" borderId="1" xfId="0" applyFill="1" applyBorder="1" applyAlignment="1">
      <alignment horizontal="center"/>
    </xf>
    <xf numFmtId="0" fontId="0" fillId="10" borderId="2" xfId="0" applyFill="1" applyBorder="1" applyAlignment="1">
      <alignment horizontal="center"/>
    </xf>
    <xf numFmtId="0" fontId="0" fillId="10" borderId="3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8" borderId="2" xfId="0" applyFill="1" applyBorder="1" applyAlignment="1">
      <alignment horizontal="center"/>
    </xf>
    <xf numFmtId="0" fontId="0" fillId="8" borderId="3" xfId="0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30" xfId="0" applyBorder="1" applyAlignment="1">
      <alignment horizontal="center"/>
    </xf>
    <xf numFmtId="0" fontId="0" fillId="9" borderId="1" xfId="0" applyFill="1" applyBorder="1" applyAlignment="1">
      <alignment horizontal="center"/>
    </xf>
    <xf numFmtId="0" fontId="0" fillId="9" borderId="2" xfId="0" applyFill="1" applyBorder="1" applyAlignment="1">
      <alignment horizontal="center"/>
    </xf>
    <xf numFmtId="0" fontId="0" fillId="9" borderId="3" xfId="0" applyFill="1" applyBorder="1" applyAlignment="1">
      <alignment horizontal="center"/>
    </xf>
    <xf numFmtId="0" fontId="22" fillId="8" borderId="1" xfId="0" applyFont="1" applyFill="1" applyBorder="1" applyAlignment="1">
      <alignment horizontal="center"/>
    </xf>
    <xf numFmtId="0" fontId="22" fillId="8" borderId="2" xfId="0" applyFont="1" applyFill="1" applyBorder="1" applyAlignment="1">
      <alignment horizontal="center"/>
    </xf>
    <xf numFmtId="0" fontId="22" fillId="8" borderId="3" xfId="0" applyFont="1" applyFill="1" applyBorder="1" applyAlignment="1">
      <alignment horizontal="center"/>
    </xf>
    <xf numFmtId="0" fontId="2" fillId="0" borderId="4" xfId="0" applyFont="1" applyBorder="1" applyAlignment="1">
      <alignment horizontal="center" shrinkToFit="1"/>
    </xf>
    <xf numFmtId="0" fontId="2" fillId="0" borderId="0" xfId="0" applyFont="1" applyAlignment="1">
      <alignment horizontal="center" shrinkToFit="1"/>
    </xf>
    <xf numFmtId="0" fontId="3" fillId="7" borderId="1" xfId="0" applyFont="1" applyFill="1" applyBorder="1" applyAlignment="1">
      <alignment horizontal="center"/>
    </xf>
    <xf numFmtId="0" fontId="3" fillId="7" borderId="2" xfId="0" applyFont="1" applyFill="1" applyBorder="1" applyAlignment="1">
      <alignment horizontal="center"/>
    </xf>
    <xf numFmtId="0" fontId="3" fillId="7" borderId="3" xfId="0" applyFont="1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0" fillId="7" borderId="2" xfId="0" applyFill="1" applyBorder="1" applyAlignment="1">
      <alignment horizontal="center"/>
    </xf>
    <xf numFmtId="0" fontId="0" fillId="7" borderId="3" xfId="0" applyFill="1" applyBorder="1" applyAlignment="1">
      <alignment horizontal="center"/>
    </xf>
    <xf numFmtId="0" fontId="49" fillId="9" borderId="29" xfId="0" applyFont="1" applyFill="1" applyBorder="1" applyAlignment="1">
      <alignment horizontal="center"/>
    </xf>
    <xf numFmtId="0" fontId="49" fillId="0" borderId="29" xfId="0" applyFont="1" applyBorder="1" applyAlignment="1">
      <alignment horizontal="center"/>
    </xf>
    <xf numFmtId="0" fontId="49" fillId="0" borderId="30" xfId="0" applyFont="1" applyBorder="1" applyAlignment="1">
      <alignment horizontal="center"/>
    </xf>
    <xf numFmtId="0" fontId="51" fillId="0" borderId="29" xfId="0" applyFont="1" applyBorder="1" applyAlignment="1">
      <alignment horizontal="center"/>
    </xf>
    <xf numFmtId="0" fontId="44" fillId="0" borderId="8" xfId="0" applyFont="1" applyBorder="1" applyAlignment="1">
      <alignment horizontal="center"/>
    </xf>
    <xf numFmtId="0" fontId="44" fillId="0" borderId="4" xfId="0" applyFont="1" applyBorder="1" applyAlignment="1">
      <alignment horizontal="center"/>
    </xf>
    <xf numFmtId="0" fontId="44" fillId="0" borderId="25" xfId="0" applyFont="1" applyBorder="1" applyAlignment="1">
      <alignment horizontal="center"/>
    </xf>
    <xf numFmtId="0" fontId="0" fillId="7" borderId="22" xfId="0" applyFill="1" applyBorder="1" applyAlignment="1">
      <alignment horizontal="center"/>
    </xf>
    <xf numFmtId="0" fontId="0" fillId="7" borderId="23" xfId="0" applyFill="1" applyBorder="1" applyAlignment="1">
      <alignment horizontal="center"/>
    </xf>
    <xf numFmtId="0" fontId="0" fillId="7" borderId="24" xfId="0" applyFill="1" applyBorder="1" applyAlignment="1">
      <alignment horizontal="center"/>
    </xf>
    <xf numFmtId="0" fontId="43" fillId="15" borderId="0" xfId="0" applyFont="1" applyFill="1" applyAlignment="1">
      <alignment horizontal="right"/>
    </xf>
    <xf numFmtId="0" fontId="43" fillId="15" borderId="19" xfId="0" applyFont="1" applyFill="1" applyBorder="1" applyAlignment="1">
      <alignment horizontal="right"/>
    </xf>
    <xf numFmtId="0" fontId="42" fillId="15" borderId="16" xfId="0" applyFont="1" applyFill="1" applyBorder="1" applyAlignment="1">
      <alignment horizontal="center"/>
    </xf>
    <xf numFmtId="0" fontId="42" fillId="15" borderId="17" xfId="0" applyFont="1" applyFill="1" applyBorder="1" applyAlignment="1">
      <alignment horizontal="center"/>
    </xf>
    <xf numFmtId="0" fontId="42" fillId="15" borderId="14" xfId="0" applyFont="1" applyFill="1" applyBorder="1" applyAlignment="1">
      <alignment horizontal="center"/>
    </xf>
    <xf numFmtId="0" fontId="42" fillId="15" borderId="20" xfId="0" applyFont="1" applyFill="1" applyBorder="1" applyAlignment="1">
      <alignment horizontal="center"/>
    </xf>
    <xf numFmtId="0" fontId="39" fillId="15" borderId="14" xfId="0" applyFont="1" applyFill="1" applyBorder="1" applyAlignment="1">
      <alignment horizontal="right"/>
    </xf>
    <xf numFmtId="0" fontId="39" fillId="15" borderId="20" xfId="0" applyFont="1" applyFill="1" applyBorder="1" applyAlignment="1">
      <alignment horizontal="right"/>
    </xf>
    <xf numFmtId="0" fontId="43" fillId="15" borderId="14" xfId="0" applyFont="1" applyFill="1" applyBorder="1" applyAlignment="1">
      <alignment horizontal="right"/>
    </xf>
    <xf numFmtId="0" fontId="43" fillId="15" borderId="20" xfId="0" applyFont="1" applyFill="1" applyBorder="1" applyAlignment="1">
      <alignment horizontal="right"/>
    </xf>
    <xf numFmtId="0" fontId="3" fillId="13" borderId="1" xfId="0" applyFont="1" applyFill="1" applyBorder="1" applyAlignment="1">
      <alignment horizontal="center"/>
    </xf>
    <xf numFmtId="0" fontId="3" fillId="13" borderId="2" xfId="0" applyFont="1" applyFill="1" applyBorder="1" applyAlignment="1">
      <alignment horizontal="center"/>
    </xf>
    <xf numFmtId="0" fontId="3" fillId="13" borderId="3" xfId="0" applyFont="1" applyFill="1" applyBorder="1" applyAlignment="1">
      <alignment horizontal="center"/>
    </xf>
    <xf numFmtId="0" fontId="8" fillId="0" borderId="0" xfId="0" applyFont="1" applyAlignment="1">
      <alignment horizontal="center"/>
    </xf>
    <xf numFmtId="0" fontId="8" fillId="0" borderId="0" xfId="0" quotePrefix="1" applyFont="1" applyAlignment="1">
      <alignment horizontal="center"/>
    </xf>
  </cellXfs>
  <cellStyles count="3">
    <cellStyle name="Heading 1" xfId="1" builtinId="16"/>
    <cellStyle name="Hyperlink" xfId="2" builtinId="8"/>
    <cellStyle name="Normal" xfId="0" builtinId="0"/>
  </cellStyles>
  <dxfs count="7">
    <dxf>
      <font>
        <strike val="0"/>
        <outline val="0"/>
        <shadow val="0"/>
        <u val="none"/>
        <vertAlign val="baseline"/>
        <sz val="11"/>
        <color theme="0" tint="-0.499984740745262"/>
        <name val="Aptos Narrow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 tint="-0.499984740745262"/>
        <name val="Aptos Narrow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 tint="-0.499984740745262"/>
        <name val="Aptos Narrow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FFFFCC"/>
      <color rgb="FFFFCC99"/>
      <color rgb="FFCCFFCC"/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alcChain" Target="calcChain.xml"/><Relationship Id="rId5" Type="http://schemas.openxmlformats.org/officeDocument/2006/relationships/theme" Target="theme/theme1.xml"/><Relationship Id="rId10" Type="http://schemas.microsoft.com/office/2022/11/relationships/FeaturePropertyBag" Target="featurePropertyBag/featurePropertyBag.xml"/><Relationship Id="rId4" Type="http://schemas.openxmlformats.org/officeDocument/2006/relationships/worksheet" Target="worksheets/sheet4.xml"/><Relationship Id="rId9" Type="http://schemas.microsoft.com/office/2017/10/relationships/person" Target="persons/perso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sv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148685</xdr:colOff>
      <xdr:row>47</xdr:row>
      <xdr:rowOff>199792</xdr:rowOff>
    </xdr:from>
    <xdr:to>
      <xdr:col>13</xdr:col>
      <xdr:colOff>148685</xdr:colOff>
      <xdr:row>48</xdr:row>
      <xdr:rowOff>181207</xdr:rowOff>
    </xdr:to>
    <xdr:pic>
      <xdr:nvPicPr>
        <xdr:cNvPr id="3" name="Graphic 2" descr="Right pointing backhand index with solid fill">
          <a:extLst>
            <a:ext uri="{FF2B5EF4-FFF2-40B4-BE49-F238E27FC236}">
              <a16:creationId xmlns:a16="http://schemas.microsoft.com/office/drawing/2014/main" id="{F406E631-5996-FB9B-B2BE-7CE02EFB9D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141965" y="2550841"/>
          <a:ext cx="181207" cy="181207"/>
        </a:xfrm>
        <a:prstGeom prst="rect">
          <a:avLst/>
        </a:prstGeom>
      </xdr:spPr>
    </xdr:pic>
    <xdr:clientData/>
  </xdr:twoCellAnchor>
  <xdr:twoCellAnchor editAs="oneCell">
    <xdr:from>
      <xdr:col>12</xdr:col>
      <xdr:colOff>134745</xdr:colOff>
      <xdr:row>3</xdr:row>
      <xdr:rowOff>4647</xdr:rowOff>
    </xdr:from>
    <xdr:to>
      <xdr:col>13</xdr:col>
      <xdr:colOff>134745</xdr:colOff>
      <xdr:row>3</xdr:row>
      <xdr:rowOff>185854</xdr:rowOff>
    </xdr:to>
    <xdr:pic>
      <xdr:nvPicPr>
        <xdr:cNvPr id="4" name="Graphic 3" descr="Right pointing backhand index with solid fill">
          <a:extLst>
            <a:ext uri="{FF2B5EF4-FFF2-40B4-BE49-F238E27FC236}">
              <a16:creationId xmlns:a16="http://schemas.microsoft.com/office/drawing/2014/main" id="{5FBD5133-8601-46C5-980E-7C11469189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128025" y="204440"/>
          <a:ext cx="181207" cy="181207"/>
        </a:xfrm>
        <a:prstGeom prst="rect">
          <a:avLst/>
        </a:prstGeom>
      </xdr:spPr>
    </xdr:pic>
    <xdr:clientData/>
  </xdr:twoCellAnchor>
  <xdr:twoCellAnchor editAs="oneCell">
    <xdr:from>
      <xdr:col>3</xdr:col>
      <xdr:colOff>83633</xdr:colOff>
      <xdr:row>45</xdr:row>
      <xdr:rowOff>51111</xdr:rowOff>
    </xdr:from>
    <xdr:to>
      <xdr:col>4</xdr:col>
      <xdr:colOff>74294</xdr:colOff>
      <xdr:row>46</xdr:row>
      <xdr:rowOff>31791</xdr:rowOff>
    </xdr:to>
    <xdr:pic>
      <xdr:nvPicPr>
        <xdr:cNvPr id="5" name="Graphic 4" descr="Right pointing backhand index with solid fill">
          <a:extLst>
            <a:ext uri="{FF2B5EF4-FFF2-40B4-BE49-F238E27FC236}">
              <a16:creationId xmlns:a16="http://schemas.microsoft.com/office/drawing/2014/main" id="{E42C8A30-4055-49CE-B9B8-C604085834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2449157">
          <a:off x="446048" y="1830660"/>
          <a:ext cx="181207" cy="181207"/>
        </a:xfrm>
        <a:prstGeom prst="rect">
          <a:avLst/>
        </a:prstGeom>
      </xdr:spPr>
    </xdr:pic>
    <xdr:clientData/>
  </xdr:twoCellAnchor>
  <xdr:oneCellAnchor>
    <xdr:from>
      <xdr:col>12</xdr:col>
      <xdr:colOff>148685</xdr:colOff>
      <xdr:row>30</xdr:row>
      <xdr:rowOff>199792</xdr:rowOff>
    </xdr:from>
    <xdr:ext cx="179614" cy="182800"/>
    <xdr:pic>
      <xdr:nvPicPr>
        <xdr:cNvPr id="2" name="Graphic 1" descr="Right pointing backhand index with solid fill">
          <a:extLst>
            <a:ext uri="{FF2B5EF4-FFF2-40B4-BE49-F238E27FC236}">
              <a16:creationId xmlns:a16="http://schemas.microsoft.com/office/drawing/2014/main" id="{18EB5E4B-8B8C-4162-8B1D-C68450519A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314942" y="3166149"/>
          <a:ext cx="179614" cy="182800"/>
        </a:xfrm>
        <a:prstGeom prst="rect">
          <a:avLst/>
        </a:prstGeom>
      </xdr:spPr>
    </xdr:pic>
    <xdr:clientData/>
  </xdr:oneCellAnchor>
  <xdr:oneCellAnchor>
    <xdr:from>
      <xdr:col>3</xdr:col>
      <xdr:colOff>83633</xdr:colOff>
      <xdr:row>28</xdr:row>
      <xdr:rowOff>51111</xdr:rowOff>
    </xdr:from>
    <xdr:ext cx="181161" cy="182066"/>
    <xdr:pic>
      <xdr:nvPicPr>
        <xdr:cNvPr id="6" name="Graphic 5" descr="Right pointing backhand index with solid fill">
          <a:extLst>
            <a:ext uri="{FF2B5EF4-FFF2-40B4-BE49-F238E27FC236}">
              <a16:creationId xmlns:a16="http://schemas.microsoft.com/office/drawing/2014/main" id="{1DC99BB5-7CF3-44C5-BDBD-75152485EE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2449157">
          <a:off x="622476" y="2603811"/>
          <a:ext cx="181161" cy="182066"/>
        </a:xfrm>
        <a:prstGeom prst="rect">
          <a:avLst/>
        </a:prstGeom>
      </xdr:spPr>
    </xdr:pic>
    <xdr:clientData/>
  </xdr:oneCellAnchor>
  <xdr:oneCellAnchor>
    <xdr:from>
      <xdr:col>12</xdr:col>
      <xdr:colOff>148685</xdr:colOff>
      <xdr:row>14</xdr:row>
      <xdr:rowOff>199792</xdr:rowOff>
    </xdr:from>
    <xdr:ext cx="179614" cy="182800"/>
    <xdr:pic>
      <xdr:nvPicPr>
        <xdr:cNvPr id="7" name="Graphic 6" descr="Right pointing backhand index with solid fill">
          <a:extLst>
            <a:ext uri="{FF2B5EF4-FFF2-40B4-BE49-F238E27FC236}">
              <a16:creationId xmlns:a16="http://schemas.microsoft.com/office/drawing/2014/main" id="{81FF8EEC-F68B-41EF-A351-1FAF062198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314942" y="6203263"/>
          <a:ext cx="179614" cy="182800"/>
        </a:xfrm>
        <a:prstGeom prst="rect">
          <a:avLst/>
        </a:prstGeom>
      </xdr:spPr>
    </xdr:pic>
    <xdr:clientData/>
  </xdr:oneCellAnchor>
  <xdr:oneCellAnchor>
    <xdr:from>
      <xdr:col>12</xdr:col>
      <xdr:colOff>148685</xdr:colOff>
      <xdr:row>65</xdr:row>
      <xdr:rowOff>199792</xdr:rowOff>
    </xdr:from>
    <xdr:ext cx="179614" cy="182800"/>
    <xdr:pic>
      <xdr:nvPicPr>
        <xdr:cNvPr id="9" name="Graphic 8" descr="Right pointing backhand index with solid fill">
          <a:extLst>
            <a:ext uri="{FF2B5EF4-FFF2-40B4-BE49-F238E27FC236}">
              <a16:creationId xmlns:a16="http://schemas.microsoft.com/office/drawing/2014/main" id="{6C6A836C-6978-442C-94A4-36E023CE13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314942" y="9626821"/>
          <a:ext cx="179614" cy="182800"/>
        </a:xfrm>
        <a:prstGeom prst="rect">
          <a:avLst/>
        </a:prstGeom>
      </xdr:spPr>
    </xdr:pic>
    <xdr:clientData/>
  </xdr:oneCellAnchor>
  <xdr:oneCellAnchor>
    <xdr:from>
      <xdr:col>12</xdr:col>
      <xdr:colOff>148685</xdr:colOff>
      <xdr:row>78</xdr:row>
      <xdr:rowOff>199792</xdr:rowOff>
    </xdr:from>
    <xdr:ext cx="179614" cy="182800"/>
    <xdr:pic>
      <xdr:nvPicPr>
        <xdr:cNvPr id="11" name="Graphic 10" descr="Right pointing backhand index with solid fill">
          <a:extLst>
            <a:ext uri="{FF2B5EF4-FFF2-40B4-BE49-F238E27FC236}">
              <a16:creationId xmlns:a16="http://schemas.microsoft.com/office/drawing/2014/main" id="{B0FF1A53-9462-4565-8FE0-64E3CF8394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314942" y="13202778"/>
          <a:ext cx="179614" cy="182800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22218</xdr:colOff>
      <xdr:row>0</xdr:row>
      <xdr:rowOff>437428</xdr:rowOff>
    </xdr:from>
    <xdr:to>
      <xdr:col>2</xdr:col>
      <xdr:colOff>460832</xdr:colOff>
      <xdr:row>2</xdr:row>
      <xdr:rowOff>1600</xdr:rowOff>
    </xdr:to>
    <xdr:pic>
      <xdr:nvPicPr>
        <xdr:cNvPr id="3" name="Graphic 2" descr="Alien Face with solid fill">
          <a:extLst>
            <a:ext uri="{FF2B5EF4-FFF2-40B4-BE49-F238E27FC236}">
              <a16:creationId xmlns:a16="http://schemas.microsoft.com/office/drawing/2014/main" id="{42D83647-7AF2-3991-46C6-A6BB8675E3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90379" y="437428"/>
          <a:ext cx="438614" cy="440233"/>
        </a:xfrm>
        <a:prstGeom prst="rect">
          <a:avLst/>
        </a:prstGeom>
      </xdr:spPr>
    </xdr:pic>
    <xdr:clientData/>
  </xdr:twoCellAnchor>
  <xdr:oneCellAnchor>
    <xdr:from>
      <xdr:col>7</xdr:col>
      <xdr:colOff>22218</xdr:colOff>
      <xdr:row>0</xdr:row>
      <xdr:rowOff>437428</xdr:rowOff>
    </xdr:from>
    <xdr:ext cx="438614" cy="438061"/>
    <xdr:pic>
      <xdr:nvPicPr>
        <xdr:cNvPr id="5" name="Graphic 4" descr="Alien Face with solid fill">
          <a:extLst>
            <a:ext uri="{FF2B5EF4-FFF2-40B4-BE49-F238E27FC236}">
              <a16:creationId xmlns:a16="http://schemas.microsoft.com/office/drawing/2014/main" id="{41995D07-FC74-48ED-A349-D8F817BEAE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92261" y="437428"/>
          <a:ext cx="438614" cy="438061"/>
        </a:xfrm>
        <a:prstGeom prst="rect">
          <a:avLst/>
        </a:prstGeom>
      </xdr:spPr>
    </xdr:pic>
    <xdr:clientData/>
  </xdr:one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ersons/person.xml><?xml version="1.0" encoding="utf-8"?>
<personList xmlns="http://schemas.microsoft.com/office/spreadsheetml/2018/threadedcomments" xmlns:x="http://schemas.openxmlformats.org/spreadsheetml/2006/main">
  <person displayName="Nguyen Duc Tien" id="{9240700F-9BEE-4704-BF54-E665054FE8DC}" userId="S::tien.nguyenduc@hust.edu.vn::1d425f06-52f5-490b-9f00-5a0d395ba4e9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2E080C7-0F88-47A3-B24D-7998CE27F38C}" name="TableRegisters" displayName="TableRegisters" ref="A1:B33" totalsRowShown="0">
  <autoFilter ref="A1:B33" xr:uid="{E2E080C7-0F88-47A3-B24D-7998CE27F38C}"/>
  <tableColumns count="2">
    <tableColumn id="1" xr3:uid="{FC65DE35-4218-40D3-8981-82F8CF853F1D}" name="Register Name"/>
    <tableColumn id="2" xr3:uid="{AB85BCBA-D32C-4C63-9004-6587CB3D0372}" name="Index"/>
  </tableColumns>
  <tableStyleInfo name="TableStyleLight2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19C62A4-FE71-4EA3-B630-2484B7C7E89D}" name="TableOpcodes" displayName="TableOpcodes" ref="D2:M51" totalsRowShown="0">
  <autoFilter ref="D2:M51" xr:uid="{A19C62A4-FE71-4EA3-B630-2484B7C7E89D}"/>
  <tableColumns count="10">
    <tableColumn id="1" xr3:uid="{97CBC304-A7CC-4055-B86D-7B61FD4E8E8C}" name="MNEMONIC"/>
    <tableColumn id="2" xr3:uid="{0AF6B6D9-676C-4AA9-9307-DCE9E86977B8}" name="FMT" dataDxfId="6"/>
    <tableColumn id="3" xr3:uid="{0246835D-795C-4501-8D00-02CBC9D67E42}" name="OPCODE" dataDxfId="5"/>
    <tableColumn id="4" xr3:uid="{F42F2333-6D9A-4152-B332-8C19208717EB}" name="FUNCT3" dataDxfId="4"/>
    <tableColumn id="5" xr3:uid="{660778F0-EE04-4B1A-8D3B-042D03F53E96}" name="FUNCT7 or IMM" dataDxfId="3"/>
    <tableColumn id="7" xr3:uid="{C9E476AD-E5A6-4F59-A78B-48A362BE8077}" name="OPCODE  (10)" dataDxfId="2">
      <calculatedColumnFormula>BIN2DEC(TableOpcodes[[#This Row],[OPCODE]])</calculatedColumnFormula>
    </tableColumn>
    <tableColumn id="9" xr3:uid="{FED3B89A-6FF2-442E-8693-AA3EE7B1E49C}" name="FUNCT7 (10)" dataDxfId="1">
      <calculatedColumnFormula>IF(TableOpcodes[[#This Row],[FUNCT7 or IMM]]="–",,BIN2DEC(TableOpcodes[[#This Row],[FUNCT7 or IMM]]))</calculatedColumnFormula>
    </tableColumn>
    <tableColumn id="8" xr3:uid="{30E7EC8D-F50F-4239-8FB4-28383855E4A9}" name="FUNCT3 (10)" dataDxfId="0">
      <calculatedColumnFormula>IF(TableOpcodes[[#This Row],[FUNCT3]]="–",,BIN2DEC(TableOpcodes[[#This Row],[FUNCT3]]))</calculatedColumnFormula>
    </tableColumn>
    <tableColumn id="10" xr3:uid="{5A8146E8-A95F-499E-A09C-3DC864787EF7}" name="Description"/>
    <tableColumn id="11" xr3:uid="{87F579F6-EB0C-408A-BE79-0E127FFBD39E}" name="Operation"/>
  </tableColumns>
  <tableStyleInfo name="TableStyleLight1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30" dT="2024-10-05T02:26:27.08" personId="{9240700F-9BEE-4704-BF54-E665054FE8DC}" id="{9198ECBD-678F-432C-92F8-9718C205B842}">
    <text>Nội dung thanh ghi PC ở lệnh hiện tại. 
Viết ở hệ 16</text>
  </threadedComment>
  <threadedComment ref="AM30" dT="2024-10-05T02:28:28.66" personId="{9240700F-9BEE-4704-BF54-E665054FE8DC}" id="{69C14207-E377-4261-B3FB-8D20B1D52083}">
    <text>Nội dung thanh ghi PC ở lệnh hiện tại.
Viết ở hệ 2</text>
  </threadedComment>
  <threadedComment ref="C31" dT="2024-10-05T02:26:01.22" personId="{9240700F-9BEE-4704-BF54-E665054FE8DC}" id="{0937F6A1-B596-46C2-B233-918904433524}">
    <text>Nội dung thanh ghi PC ở lệnh hiện tại. 
Viết ở hệ 10</text>
  </threadedComment>
  <threadedComment ref="D32" dT="2024-10-05T02:50:19.73" personId="{9240700F-9BEE-4704-BF54-E665054FE8DC}" id="{36832EF2-528E-47A8-8180-3A5791D5C35A}">
    <text>Khoảng cách, tính theo số byte, giữa đĩa chỉ của lệnh nơi nhảy tới, và địa chỉ lệnh hiện tại.</text>
  </threadedComment>
  <threadedComment ref="C33" dT="2024-10-05T02:27:38.44" personId="{9240700F-9BEE-4704-BF54-E665054FE8DC}" id="{EE7F0B5C-798E-4B8B-81A7-9396751C7BD4}">
    <text>Nội dung thanh ghi PC chứa địa chỉ nơi nhảy đến. 
Viết ở hệ 10</text>
  </threadedComment>
  <threadedComment ref="C34" dT="2024-10-05T02:27:18.86" personId="{9240700F-9BEE-4704-BF54-E665054FE8DC}" id="{AEB1F313-58E6-44DA-A422-7CCD6DAD3893}">
    <text>Nội dung thanh ghi PC chứa địa chỉ nơi nhảy đến. 
Viết ở hệ 16</text>
  </threadedComment>
  <threadedComment ref="AM34" dT="2024-10-05T02:28:46.70" personId="{9240700F-9BEE-4704-BF54-E665054FE8DC}" id="{107DCB09-9769-44D1-BD60-6C184BFE2955}">
    <text xml:space="preserve">Nội dung thanh ghi PC nơ nhảy đến
Viết ở hệ 2
</text>
  </threadedComment>
  <threadedComment ref="C47" dT="2024-10-05T02:26:27.08" personId="{9240700F-9BEE-4704-BF54-E665054FE8DC}" id="{73854207-23F7-41BA-8534-B4384FB666DB}">
    <text>Nội dung thanh ghi PC ở lệnh hiện tại. 
Viết ở hệ 16</text>
  </threadedComment>
  <threadedComment ref="AM47" dT="2024-10-05T02:28:28.66" personId="{9240700F-9BEE-4704-BF54-E665054FE8DC}" id="{B9C9A698-470D-4E2E-B1CE-8F40F91BAC54}">
    <text xml:space="preserve">Nội dung thanh ghi PC ở lệnh hiện tại. 
Viết ở hệ 2
</text>
  </threadedComment>
  <threadedComment ref="C48" dT="2024-10-05T02:26:01.22" personId="{9240700F-9BEE-4704-BF54-E665054FE8DC}" id="{F0E8C72D-DFED-403B-A5C6-9E9E8DFA418E}">
    <text xml:space="preserve">Nội dung thanh ghi PC ở lệnh hiện tại. 
Viết ở hệ 10
</text>
  </threadedComment>
  <threadedComment ref="D49" dT="2024-10-05T02:50:19.73" personId="{9240700F-9BEE-4704-BF54-E665054FE8DC}" id="{7B301A01-1225-457E-AAB3-F03D2845D6B4}">
    <text>Khoảng cách, tính theo số byte, giữa đĩa chỉ của lệnh nơi nhảy tới, và địa chỉ lệnh hiện tại.</text>
  </threadedComment>
  <threadedComment ref="C50" dT="2024-10-05T02:27:38.44" personId="{9240700F-9BEE-4704-BF54-E665054FE8DC}" id="{47EE75B6-E12A-44AB-9946-737C2CD55ECD}">
    <text>Nội dung thanh ghi PC, nếu rẽ nhánh, sẽ chứa địa chỉ nơi nhảy đến
Viết ở hệ 10</text>
  </threadedComment>
  <threadedComment ref="C51" dT="2024-10-05T02:27:18.86" personId="{9240700F-9BEE-4704-BF54-E665054FE8DC}" id="{BCD939F0-123F-4DEE-9D31-CD0744948F3B}">
    <text xml:space="preserve">Nội dung thanh ghi PC, nếu rẽ nhánh, sẽ chứa địa chỉ nơi nhảy đến
Viết ở hệ 16
</text>
  </threadedComment>
  <threadedComment ref="AM51" dT="2024-10-05T02:28:46.70" personId="{9240700F-9BEE-4704-BF54-E665054FE8DC}" id="{AED09461-1538-4A9F-A073-D1F6644BCD0A}">
    <text xml:space="preserve">Nội dung thanh ghi PC, nếu rẽ nhánh, sẽ chứa địa chỉ nơi nhảy đến
Viết ở hệ 2
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285752-217A-485B-8823-5D8F8B5FC1F0}">
  <sheetPr codeName="Sheet4"/>
  <dimension ref="A1:U51"/>
  <sheetViews>
    <sheetView topLeftCell="M1" zoomScale="115" zoomScaleNormal="115" workbookViewId="0">
      <selection activeCell="T14" sqref="T14"/>
    </sheetView>
  </sheetViews>
  <sheetFormatPr defaultRowHeight="15" x14ac:dyDescent="0.25"/>
  <cols>
    <col min="1" max="2" width="11" customWidth="1"/>
    <col min="4" max="4" width="13.28515625" customWidth="1"/>
    <col min="5" max="5" width="6.85546875" bestFit="1" customWidth="1"/>
    <col min="6" max="6" width="10.5703125" customWidth="1"/>
    <col min="7" max="7" width="10" style="24" customWidth="1"/>
    <col min="8" max="8" width="16.42578125" customWidth="1"/>
    <col min="9" max="9" width="7.7109375" style="3" customWidth="1"/>
    <col min="11" max="11" width="8.7109375" customWidth="1"/>
    <col min="12" max="12" width="14.28515625" bestFit="1" customWidth="1"/>
    <col min="13" max="13" width="24.28515625" bestFit="1" customWidth="1"/>
    <col min="14" max="14" width="45.5703125" bestFit="1" customWidth="1"/>
    <col min="18" max="18" width="10.28515625" bestFit="1" customWidth="1"/>
  </cols>
  <sheetData>
    <row r="1" spans="1:21" x14ac:dyDescent="0.25">
      <c r="A1" t="s">
        <v>0</v>
      </c>
      <c r="B1" t="s">
        <v>1</v>
      </c>
      <c r="D1">
        <v>1</v>
      </c>
      <c r="E1">
        <v>2</v>
      </c>
      <c r="F1">
        <v>3</v>
      </c>
      <c r="G1" s="24">
        <v>4</v>
      </c>
      <c r="H1">
        <v>5</v>
      </c>
      <c r="I1" s="3">
        <v>6</v>
      </c>
      <c r="J1">
        <v>7</v>
      </c>
      <c r="K1">
        <v>8</v>
      </c>
      <c r="O1" s="49" t="s">
        <v>2</v>
      </c>
      <c r="P1" s="48" t="s">
        <v>3</v>
      </c>
      <c r="Q1" t="s">
        <v>4</v>
      </c>
      <c r="R1" s="54" t="s">
        <v>5</v>
      </c>
      <c r="S1" s="55" t="s">
        <v>6</v>
      </c>
      <c r="T1" s="56" t="s">
        <v>7</v>
      </c>
      <c r="U1" s="56" t="s">
        <v>8</v>
      </c>
    </row>
    <row r="2" spans="1:21" x14ac:dyDescent="0.25">
      <c r="A2" t="s">
        <v>9</v>
      </c>
      <c r="B2">
        <v>0</v>
      </c>
      <c r="D2" t="s">
        <v>10</v>
      </c>
      <c r="E2" t="s">
        <v>11</v>
      </c>
      <c r="F2" t="s">
        <v>12</v>
      </c>
      <c r="G2" s="24" t="s">
        <v>13</v>
      </c>
      <c r="H2" t="s">
        <v>14</v>
      </c>
      <c r="I2" s="26" t="s">
        <v>15</v>
      </c>
      <c r="J2" s="137" t="s">
        <v>16</v>
      </c>
      <c r="K2" s="137" t="s">
        <v>17</v>
      </c>
      <c r="L2" t="s">
        <v>18</v>
      </c>
      <c r="M2" t="s">
        <v>19</v>
      </c>
      <c r="O2" s="49" t="s">
        <v>20</v>
      </c>
      <c r="P2" s="47" t="s">
        <v>21</v>
      </c>
      <c r="Q2" s="47" t="s">
        <v>22</v>
      </c>
      <c r="R2" s="47" t="s">
        <v>23</v>
      </c>
      <c r="S2" s="47" t="s">
        <v>24</v>
      </c>
      <c r="T2" s="58" t="s">
        <v>25</v>
      </c>
      <c r="U2" s="58" t="s">
        <v>26</v>
      </c>
    </row>
    <row r="3" spans="1:21" x14ac:dyDescent="0.25">
      <c r="A3" t="s">
        <v>27</v>
      </c>
      <c r="B3">
        <v>1</v>
      </c>
      <c r="D3" t="s">
        <v>28</v>
      </c>
      <c r="E3" s="3" t="s">
        <v>29</v>
      </c>
      <c r="F3" s="3" t="s">
        <v>30</v>
      </c>
      <c r="G3" s="24" t="s">
        <v>31</v>
      </c>
      <c r="H3" s="3" t="s">
        <v>32</v>
      </c>
      <c r="I3" s="25">
        <f>BIN2DEC(TableOpcodes[[#This Row],[OPCODE]])</f>
        <v>3</v>
      </c>
      <c r="J3" s="25">
        <f>IF(TableOpcodes[[#This Row],[FUNCT7 or IMM]]="–",,BIN2DEC(TableOpcodes[[#This Row],[FUNCT7 or IMM]]))</f>
        <v>0</v>
      </c>
      <c r="K3" s="25">
        <f>IF(TableOpcodes[[#This Row],[FUNCT3]]="–",,BIN2DEC(TableOpcodes[[#This Row],[FUNCT3]]))</f>
        <v>0</v>
      </c>
      <c r="L3" s="27" t="s">
        <v>33</v>
      </c>
      <c r="M3" s="29" t="s">
        <v>34</v>
      </c>
      <c r="N3" s="30"/>
      <c r="O3" s="49" t="s">
        <v>35</v>
      </c>
      <c r="P3" s="27" t="str" cm="1">
        <f t="array" ref="P3:P17">_xlfn._xlws.FILTER(TableOpcodes[MNEMONIC],TableOpcodes[FMT]="R")</f>
        <v>add</v>
      </c>
      <c r="Q3" s="27" t="str" cm="1">
        <f t="array" ref="Q3:Q23">_xlfn._xlws.FILTER(TableOpcodes[MNEMONIC],TableOpcodes[FMT]="I")</f>
        <v>lb</v>
      </c>
      <c r="R3" t="str" cm="1">
        <f t="array" ref="R3:R6">_xlfn._xlws.FILTER(TableOpcodes[MNEMONIC],TableOpcodes[FMT]="S")</f>
        <v>sb</v>
      </c>
      <c r="S3" t="str" cm="1">
        <f t="array" ref="S3:S4">_xlfn._xlws.FILTER(TableOpcodes[MNEMONIC],TableOpcodes[FMT]="U")</f>
        <v>auipc</v>
      </c>
      <c r="T3" t="str" cm="1">
        <f t="array" ref="T3:T8">_xlfn._xlws.FILTER(TableOpcodes[MNEMONIC],TableOpcodes[FMT]="B")</f>
        <v>beq</v>
      </c>
      <c r="U3" t="str" cm="1">
        <f t="array" ref="U3">_xlfn._xlws.FILTER(TableOpcodes[MNEMONIC],TableOpcodes[FMT]="J")</f>
        <v>jal</v>
      </c>
    </row>
    <row r="4" spans="1:21" x14ac:dyDescent="0.25">
      <c r="A4" t="s">
        <v>36</v>
      </c>
      <c r="B4">
        <v>2</v>
      </c>
      <c r="D4" t="s">
        <v>37</v>
      </c>
      <c r="E4" s="3" t="s">
        <v>29</v>
      </c>
      <c r="F4" s="3" t="s">
        <v>30</v>
      </c>
      <c r="G4" s="24" t="s">
        <v>38</v>
      </c>
      <c r="H4" s="3" t="s">
        <v>32</v>
      </c>
      <c r="I4" s="25">
        <f>BIN2DEC(TableOpcodes[[#This Row],[OPCODE]])</f>
        <v>3</v>
      </c>
      <c r="J4" s="25">
        <f>IF(TableOpcodes[[#This Row],[FUNCT7 or IMM]]="–",,BIN2DEC(TableOpcodes[[#This Row],[FUNCT7 or IMM]]))</f>
        <v>0</v>
      </c>
      <c r="K4" s="25">
        <f>IF(TableOpcodes[[#This Row],[FUNCT3]]="–",,BIN2DEC(TableOpcodes[[#This Row],[FUNCT3]]))</f>
        <v>1</v>
      </c>
      <c r="L4" s="27" t="s">
        <v>39</v>
      </c>
      <c r="M4" s="29" t="s">
        <v>40</v>
      </c>
      <c r="N4" s="30"/>
      <c r="O4" s="50" t="s">
        <v>41</v>
      </c>
      <c r="P4" s="30" t="str">
        <v>sub</v>
      </c>
      <c r="Q4" s="27" t="str">
        <v>lh</v>
      </c>
      <c r="R4" t="str">
        <v>sh</v>
      </c>
      <c r="S4" t="str">
        <v>lui</v>
      </c>
      <c r="T4" t="str">
        <v>bne</v>
      </c>
    </row>
    <row r="5" spans="1:21" x14ac:dyDescent="0.25">
      <c r="A5" t="s">
        <v>42</v>
      </c>
      <c r="B5">
        <v>3</v>
      </c>
      <c r="D5" t="s">
        <v>43</v>
      </c>
      <c r="E5" s="3" t="s">
        <v>29</v>
      </c>
      <c r="F5" s="3" t="s">
        <v>30</v>
      </c>
      <c r="G5" s="24" t="s">
        <v>44</v>
      </c>
      <c r="H5" s="3" t="s">
        <v>32</v>
      </c>
      <c r="I5" s="25">
        <f>BIN2DEC(TableOpcodes[[#This Row],[OPCODE]])</f>
        <v>3</v>
      </c>
      <c r="J5" s="25">
        <f>IF(TableOpcodes[[#This Row],[FUNCT7 or IMM]]="–",,BIN2DEC(TableOpcodes[[#This Row],[FUNCT7 or IMM]]))</f>
        <v>0</v>
      </c>
      <c r="K5" s="25">
        <f>IF(TableOpcodes[[#This Row],[FUNCT3]]="–",,BIN2DEC(TableOpcodes[[#This Row],[FUNCT3]]))</f>
        <v>2</v>
      </c>
      <c r="L5" s="27" t="s">
        <v>45</v>
      </c>
      <c r="M5" s="29" t="s">
        <v>46</v>
      </c>
      <c r="N5" s="30"/>
      <c r="O5" s="50" t="s">
        <v>20</v>
      </c>
      <c r="P5" s="30" t="str">
        <v>sll</v>
      </c>
      <c r="Q5" s="27" t="str">
        <v>lw</v>
      </c>
      <c r="R5" t="str">
        <v>sw</v>
      </c>
      <c r="T5" t="str">
        <v>blt</v>
      </c>
    </row>
    <row r="6" spans="1:21" x14ac:dyDescent="0.25">
      <c r="A6" t="s">
        <v>47</v>
      </c>
      <c r="B6">
        <v>4</v>
      </c>
      <c r="D6" t="s">
        <v>48</v>
      </c>
      <c r="E6" s="3" t="s">
        <v>29</v>
      </c>
      <c r="F6" s="3" t="s">
        <v>30</v>
      </c>
      <c r="G6" s="24" t="s">
        <v>49</v>
      </c>
      <c r="H6" s="3" t="s">
        <v>32</v>
      </c>
      <c r="I6" s="25">
        <f>BIN2DEC(TableOpcodes[[#This Row],[OPCODE]])</f>
        <v>3</v>
      </c>
      <c r="J6" s="25">
        <f>IF(TableOpcodes[[#This Row],[FUNCT7 or IMM]]="–",,BIN2DEC(TableOpcodes[[#This Row],[FUNCT7 or IMM]]))</f>
        <v>0</v>
      </c>
      <c r="K6" s="25">
        <f>IF(TableOpcodes[[#This Row],[FUNCT3]]="–",,BIN2DEC(TableOpcodes[[#This Row],[FUNCT3]]))</f>
        <v>4</v>
      </c>
      <c r="L6" s="27" t="s">
        <v>50</v>
      </c>
      <c r="M6" s="29" t="s">
        <v>51</v>
      </c>
      <c r="N6" s="30"/>
      <c r="O6" s="50" t="s">
        <v>52</v>
      </c>
      <c r="P6" s="30" t="str">
        <v>slt</v>
      </c>
      <c r="Q6" s="27" t="str">
        <v>lbu</v>
      </c>
      <c r="R6" t="str">
        <v>sd</v>
      </c>
      <c r="T6" t="str">
        <v>bge</v>
      </c>
    </row>
    <row r="7" spans="1:21" x14ac:dyDescent="0.25">
      <c r="A7" t="s">
        <v>53</v>
      </c>
      <c r="B7">
        <v>5</v>
      </c>
      <c r="D7" t="s">
        <v>54</v>
      </c>
      <c r="E7" s="3" t="s">
        <v>29</v>
      </c>
      <c r="F7" s="3" t="s">
        <v>30</v>
      </c>
      <c r="G7" s="24" t="s">
        <v>55</v>
      </c>
      <c r="H7" s="3" t="s">
        <v>32</v>
      </c>
      <c r="I7" s="25">
        <f>BIN2DEC(TableOpcodes[[#This Row],[OPCODE]])</f>
        <v>3</v>
      </c>
      <c r="J7" s="25">
        <f>IF(TableOpcodes[[#This Row],[FUNCT7 or IMM]]="–",,BIN2DEC(TableOpcodes[[#This Row],[FUNCT7 or IMM]]))</f>
        <v>0</v>
      </c>
      <c r="K7" s="25">
        <f>IF(TableOpcodes[[#This Row],[FUNCT3]]="–",,BIN2DEC(TableOpcodes[[#This Row],[FUNCT3]]))</f>
        <v>5</v>
      </c>
      <c r="L7" s="27" t="s">
        <v>56</v>
      </c>
      <c r="M7" s="29" t="s">
        <v>57</v>
      </c>
      <c r="N7" s="30"/>
      <c r="O7" s="50"/>
      <c r="P7" s="30" t="str">
        <v>sltu</v>
      </c>
      <c r="Q7" s="27" t="str">
        <v>lhu</v>
      </c>
      <c r="T7" t="str">
        <v>bltu</v>
      </c>
    </row>
    <row r="8" spans="1:21" x14ac:dyDescent="0.25">
      <c r="A8" t="s">
        <v>58</v>
      </c>
      <c r="B8">
        <v>6</v>
      </c>
      <c r="D8" t="s">
        <v>59</v>
      </c>
      <c r="E8" s="3" t="s">
        <v>29</v>
      </c>
      <c r="F8" s="3" t="s">
        <v>60</v>
      </c>
      <c r="G8" s="24" t="s">
        <v>31</v>
      </c>
      <c r="H8" s="3" t="s">
        <v>32</v>
      </c>
      <c r="I8" s="25">
        <f>BIN2DEC(TableOpcodes[[#This Row],[OPCODE]])</f>
        <v>19</v>
      </c>
      <c r="J8" s="25">
        <f>IF(TableOpcodes[[#This Row],[FUNCT7 or IMM]]="–",,BIN2DEC(TableOpcodes[[#This Row],[FUNCT7 or IMM]]))</f>
        <v>0</v>
      </c>
      <c r="K8" s="25">
        <f>IF(TableOpcodes[[#This Row],[FUNCT3]]="–",,BIN2DEC(TableOpcodes[[#This Row],[FUNCT3]]))</f>
        <v>0</v>
      </c>
      <c r="L8" s="27" t="s">
        <v>61</v>
      </c>
      <c r="M8" s="29" t="s">
        <v>62</v>
      </c>
      <c r="N8" s="30"/>
      <c r="O8" s="50"/>
      <c r="P8" s="30" t="str">
        <v>xor</v>
      </c>
      <c r="Q8" s="27" t="str">
        <v>addi</v>
      </c>
      <c r="T8" t="str">
        <v>bgeu</v>
      </c>
    </row>
    <row r="9" spans="1:21" x14ac:dyDescent="0.25">
      <c r="A9" t="s">
        <v>63</v>
      </c>
      <c r="B9">
        <v>7</v>
      </c>
      <c r="D9" t="s">
        <v>64</v>
      </c>
      <c r="E9" s="3" t="s">
        <v>29</v>
      </c>
      <c r="F9" s="3" t="s">
        <v>60</v>
      </c>
      <c r="G9" s="24" t="s">
        <v>38</v>
      </c>
      <c r="H9" s="3" t="s">
        <v>65</v>
      </c>
      <c r="I9" s="25">
        <f>BIN2DEC(TableOpcodes[[#This Row],[OPCODE]])</f>
        <v>19</v>
      </c>
      <c r="J9" s="25" t="e">
        <f>IF(TableOpcodes[[#This Row],[FUNCT7 or IMM]]="–",,BIN2DEC(TableOpcodes[[#This Row],[FUNCT7 or IMM]]))</f>
        <v>#NUM!</v>
      </c>
      <c r="K9" s="25">
        <f>IF(TableOpcodes[[#This Row],[FUNCT3]]="–",,BIN2DEC(TableOpcodes[[#This Row],[FUNCT3]]))</f>
        <v>1</v>
      </c>
      <c r="L9" s="27" t="s">
        <v>66</v>
      </c>
      <c r="M9" s="29" t="s">
        <v>67</v>
      </c>
      <c r="N9" s="30"/>
      <c r="O9" s="50"/>
      <c r="P9" s="30" t="str">
        <v>srl</v>
      </c>
      <c r="Q9" s="27" t="str">
        <v>slli</v>
      </c>
    </row>
    <row r="10" spans="1:21" x14ac:dyDescent="0.25">
      <c r="A10" t="s">
        <v>68</v>
      </c>
      <c r="B10">
        <v>8</v>
      </c>
      <c r="D10" t="s">
        <v>69</v>
      </c>
      <c r="E10" s="3" t="s">
        <v>29</v>
      </c>
      <c r="F10" s="3" t="s">
        <v>60</v>
      </c>
      <c r="G10" s="24" t="s">
        <v>44</v>
      </c>
      <c r="H10" s="3" t="s">
        <v>32</v>
      </c>
      <c r="I10" s="25">
        <f>BIN2DEC(TableOpcodes[[#This Row],[OPCODE]])</f>
        <v>19</v>
      </c>
      <c r="J10" s="25">
        <f>IF(TableOpcodes[[#This Row],[FUNCT7 or IMM]]="–",,BIN2DEC(TableOpcodes[[#This Row],[FUNCT7 or IMM]]))</f>
        <v>0</v>
      </c>
      <c r="K10" s="25">
        <f>IF(TableOpcodes[[#This Row],[FUNCT3]]="–",,BIN2DEC(TableOpcodes[[#This Row],[FUNCT3]]))</f>
        <v>2</v>
      </c>
      <c r="L10" s="27" t="s">
        <v>70</v>
      </c>
      <c r="M10" s="29" t="s">
        <v>71</v>
      </c>
      <c r="N10" s="30"/>
      <c r="O10" s="50"/>
      <c r="P10" s="30" t="str">
        <v>sra</v>
      </c>
      <c r="Q10" s="27" t="str">
        <v>slti</v>
      </c>
    </row>
    <row r="11" spans="1:21" x14ac:dyDescent="0.25">
      <c r="A11" t="s">
        <v>72</v>
      </c>
      <c r="B11">
        <v>9</v>
      </c>
      <c r="D11" t="s">
        <v>73</v>
      </c>
      <c r="E11" s="3" t="s">
        <v>29</v>
      </c>
      <c r="F11" s="3" t="s">
        <v>60</v>
      </c>
      <c r="G11" s="24" t="s">
        <v>74</v>
      </c>
      <c r="H11" s="3" t="s">
        <v>32</v>
      </c>
      <c r="I11" s="25">
        <f>BIN2DEC(TableOpcodes[[#This Row],[OPCODE]])</f>
        <v>19</v>
      </c>
      <c r="J11" s="25">
        <f>IF(TableOpcodes[[#This Row],[FUNCT7 or IMM]]="–",,BIN2DEC(TableOpcodes[[#This Row],[FUNCT7 or IMM]]))</f>
        <v>0</v>
      </c>
      <c r="K11" s="25">
        <f>IF(TableOpcodes[[#This Row],[FUNCT3]]="–",,BIN2DEC(TableOpcodes[[#This Row],[FUNCT3]]))</f>
        <v>3</v>
      </c>
      <c r="L11" s="27" t="s">
        <v>75</v>
      </c>
      <c r="M11" s="29" t="s">
        <v>71</v>
      </c>
      <c r="N11" s="30"/>
      <c r="O11" s="50"/>
      <c r="P11" s="30" t="str">
        <v>or</v>
      </c>
      <c r="Q11" s="27" t="str">
        <v>sltiu</v>
      </c>
    </row>
    <row r="12" spans="1:21" x14ac:dyDescent="0.25">
      <c r="A12" t="s">
        <v>76</v>
      </c>
      <c r="B12">
        <v>10</v>
      </c>
      <c r="D12" t="s">
        <v>77</v>
      </c>
      <c r="E12" s="3" t="s">
        <v>29</v>
      </c>
      <c r="F12" s="3" t="s">
        <v>60</v>
      </c>
      <c r="G12" s="24" t="s">
        <v>49</v>
      </c>
      <c r="H12" s="3" t="s">
        <v>32</v>
      </c>
      <c r="I12" s="25">
        <f>BIN2DEC(TableOpcodes[[#This Row],[OPCODE]])</f>
        <v>19</v>
      </c>
      <c r="J12" s="25">
        <f>IF(TableOpcodes[[#This Row],[FUNCT7 or IMM]]="–",,BIN2DEC(TableOpcodes[[#This Row],[FUNCT7 or IMM]]))</f>
        <v>0</v>
      </c>
      <c r="K12" s="25">
        <f>IF(TableOpcodes[[#This Row],[FUNCT3]]="–",,BIN2DEC(TableOpcodes[[#This Row],[FUNCT3]]))</f>
        <v>4</v>
      </c>
      <c r="L12" s="27" t="s">
        <v>78</v>
      </c>
      <c r="M12" s="29" t="s">
        <v>79</v>
      </c>
      <c r="N12" s="30"/>
      <c r="O12" s="50"/>
      <c r="P12" s="30" t="str">
        <v>and</v>
      </c>
      <c r="Q12" s="27" t="str">
        <v>xori</v>
      </c>
    </row>
    <row r="13" spans="1:21" x14ac:dyDescent="0.25">
      <c r="A13" t="s">
        <v>80</v>
      </c>
      <c r="B13">
        <v>11</v>
      </c>
      <c r="D13" t="s">
        <v>81</v>
      </c>
      <c r="E13" s="3" t="s">
        <v>29</v>
      </c>
      <c r="F13" s="3" t="s">
        <v>60</v>
      </c>
      <c r="G13" s="24" t="s">
        <v>55</v>
      </c>
      <c r="H13" s="3" t="s">
        <v>65</v>
      </c>
      <c r="I13" s="25">
        <f>BIN2DEC(TableOpcodes[[#This Row],[OPCODE]])</f>
        <v>19</v>
      </c>
      <c r="J13" s="25" t="e">
        <f>IF(TableOpcodes[[#This Row],[FUNCT7 or IMM]]="–",,BIN2DEC(TableOpcodes[[#This Row],[FUNCT7 or IMM]]))</f>
        <v>#NUM!</v>
      </c>
      <c r="K13" s="25">
        <f>IF(TableOpcodes[[#This Row],[FUNCT3]]="–",,BIN2DEC(TableOpcodes[[#This Row],[FUNCT3]]))</f>
        <v>5</v>
      </c>
      <c r="L13" s="27" t="s">
        <v>82</v>
      </c>
      <c r="M13" s="29" t="s">
        <v>83</v>
      </c>
      <c r="N13" s="30"/>
      <c r="O13" s="50"/>
      <c r="P13" s="30" t="str">
        <v>addw</v>
      </c>
      <c r="Q13" s="27" t="str">
        <v>srli</v>
      </c>
    </row>
    <row r="14" spans="1:21" x14ac:dyDescent="0.25">
      <c r="A14" t="s">
        <v>84</v>
      </c>
      <c r="B14">
        <v>12</v>
      </c>
      <c r="D14" t="s">
        <v>85</v>
      </c>
      <c r="E14" s="3" t="s">
        <v>29</v>
      </c>
      <c r="F14" s="3" t="s">
        <v>60</v>
      </c>
      <c r="G14" s="24" t="s">
        <v>55</v>
      </c>
      <c r="H14" s="3" t="s">
        <v>86</v>
      </c>
      <c r="I14" s="25">
        <f>BIN2DEC(TableOpcodes[[#This Row],[OPCODE]])</f>
        <v>19</v>
      </c>
      <c r="J14" s="25" t="e">
        <f>IF(TableOpcodes[[#This Row],[FUNCT7 or IMM]]="–",,BIN2DEC(TableOpcodes[[#This Row],[FUNCT7 or IMM]]))</f>
        <v>#NUM!</v>
      </c>
      <c r="K14" s="25">
        <f>IF(TableOpcodes[[#This Row],[FUNCT3]]="–",,BIN2DEC(TableOpcodes[[#This Row],[FUNCT3]]))</f>
        <v>5</v>
      </c>
      <c r="L14" s="27" t="s">
        <v>87</v>
      </c>
      <c r="M14" s="29" t="s">
        <v>88</v>
      </c>
      <c r="N14" s="30"/>
      <c r="O14" s="50"/>
      <c r="P14" s="30" t="str">
        <v>subw</v>
      </c>
      <c r="Q14" s="27" t="str">
        <v>srai</v>
      </c>
    </row>
    <row r="15" spans="1:21" x14ac:dyDescent="0.25">
      <c r="A15" t="s">
        <v>89</v>
      </c>
      <c r="B15">
        <v>13</v>
      </c>
      <c r="D15" t="s">
        <v>90</v>
      </c>
      <c r="E15" s="3" t="s">
        <v>29</v>
      </c>
      <c r="F15" s="3" t="s">
        <v>60</v>
      </c>
      <c r="G15" s="24" t="s">
        <v>91</v>
      </c>
      <c r="H15" s="3" t="s">
        <v>32</v>
      </c>
      <c r="I15" s="25">
        <f>BIN2DEC(TableOpcodes[[#This Row],[OPCODE]])</f>
        <v>19</v>
      </c>
      <c r="J15" s="25">
        <f>IF(TableOpcodes[[#This Row],[FUNCT7 or IMM]]="–",,BIN2DEC(TableOpcodes[[#This Row],[FUNCT7 or IMM]]))</f>
        <v>0</v>
      </c>
      <c r="K15" s="25">
        <f>IF(TableOpcodes[[#This Row],[FUNCT3]]="–",,BIN2DEC(TableOpcodes[[#This Row],[FUNCT3]]))</f>
        <v>6</v>
      </c>
      <c r="L15" s="27" t="s">
        <v>92</v>
      </c>
      <c r="M15" s="29" t="s">
        <v>93</v>
      </c>
      <c r="N15" s="30"/>
      <c r="O15" s="50"/>
      <c r="P15" s="30" t="str">
        <v>sllw</v>
      </c>
      <c r="Q15" s="27" t="str">
        <v>ori</v>
      </c>
    </row>
    <row r="16" spans="1:21" x14ac:dyDescent="0.25">
      <c r="A16" t="s">
        <v>94</v>
      </c>
      <c r="B16">
        <v>14</v>
      </c>
      <c r="D16" t="s">
        <v>95</v>
      </c>
      <c r="E16" s="3" t="s">
        <v>29</v>
      </c>
      <c r="F16" s="3" t="s">
        <v>60</v>
      </c>
      <c r="G16" s="24" t="s">
        <v>96</v>
      </c>
      <c r="H16" s="3" t="s">
        <v>32</v>
      </c>
      <c r="I16" s="25">
        <f>BIN2DEC(TableOpcodes[[#This Row],[OPCODE]])</f>
        <v>19</v>
      </c>
      <c r="J16" s="25">
        <f>IF(TableOpcodes[[#This Row],[FUNCT7 or IMM]]="–",,BIN2DEC(TableOpcodes[[#This Row],[FUNCT7 or IMM]]))</f>
        <v>0</v>
      </c>
      <c r="K16" s="25">
        <f>IF(TableOpcodes[[#This Row],[FUNCT3]]="–",,BIN2DEC(TableOpcodes[[#This Row],[FUNCT3]]))</f>
        <v>7</v>
      </c>
      <c r="L16" s="27" t="s">
        <v>97</v>
      </c>
      <c r="M16" s="29" t="s">
        <v>98</v>
      </c>
      <c r="N16" s="30"/>
      <c r="O16" s="50"/>
      <c r="P16" s="30" t="str">
        <v>srlw</v>
      </c>
      <c r="Q16" s="27" t="str">
        <v>andi</v>
      </c>
    </row>
    <row r="17" spans="1:21" x14ac:dyDescent="0.25">
      <c r="A17" t="s">
        <v>99</v>
      </c>
      <c r="B17">
        <v>15</v>
      </c>
      <c r="D17" t="s">
        <v>100</v>
      </c>
      <c r="E17" s="3" t="s">
        <v>101</v>
      </c>
      <c r="F17" s="3" t="s">
        <v>102</v>
      </c>
      <c r="G17" s="24" t="s">
        <v>32</v>
      </c>
      <c r="H17" s="3" t="s">
        <v>32</v>
      </c>
      <c r="I17" s="25">
        <f>BIN2DEC(TableOpcodes[[#This Row],[OPCODE]])</f>
        <v>23</v>
      </c>
      <c r="J17" s="25">
        <f>IF(TableOpcodes[[#This Row],[FUNCT7 or IMM]]="–",,BIN2DEC(TableOpcodes[[#This Row],[FUNCT7 or IMM]]))</f>
        <v>0</v>
      </c>
      <c r="K17" s="25">
        <f>IF(TableOpcodes[[#This Row],[FUNCT3]]="–",,BIN2DEC(TableOpcodes[[#This Row],[FUNCT3]]))</f>
        <v>0</v>
      </c>
      <c r="L17" s="27" t="s">
        <v>103</v>
      </c>
      <c r="M17" s="29" t="s">
        <v>104</v>
      </c>
      <c r="N17" s="30"/>
      <c r="O17" s="30"/>
      <c r="P17" s="30" t="str">
        <v>sraw</v>
      </c>
      <c r="Q17" s="27" t="str">
        <v>jalr</v>
      </c>
    </row>
    <row r="18" spans="1:21" ht="18" x14ac:dyDescent="0.25">
      <c r="A18" t="s">
        <v>105</v>
      </c>
      <c r="B18">
        <v>16</v>
      </c>
      <c r="D18" t="s">
        <v>106</v>
      </c>
      <c r="E18" s="3" t="s">
        <v>107</v>
      </c>
      <c r="F18" s="3" t="s">
        <v>108</v>
      </c>
      <c r="G18" s="24" t="s">
        <v>31</v>
      </c>
      <c r="H18" s="3" t="s">
        <v>32</v>
      </c>
      <c r="I18" s="25">
        <f>BIN2DEC(TableOpcodes[[#This Row],[OPCODE]])</f>
        <v>35</v>
      </c>
      <c r="J18" s="25">
        <f>IF(TableOpcodes[[#This Row],[FUNCT7 or IMM]]="–",,BIN2DEC(TableOpcodes[[#This Row],[FUNCT7 or IMM]]))</f>
        <v>0</v>
      </c>
      <c r="K18" s="25">
        <f>IF(TableOpcodes[[#This Row],[FUNCT3]]="–",,BIN2DEC(TableOpcodes[[#This Row],[FUNCT3]]))</f>
        <v>0</v>
      </c>
      <c r="L18" s="27" t="s">
        <v>109</v>
      </c>
      <c r="M18" s="28" t="s">
        <v>110</v>
      </c>
      <c r="N18" s="30"/>
      <c r="O18" s="30"/>
      <c r="P18" s="30"/>
      <c r="Q18" s="27" t="str">
        <v>ld</v>
      </c>
    </row>
    <row r="19" spans="1:21" ht="18" x14ac:dyDescent="0.25">
      <c r="A19" t="s">
        <v>111</v>
      </c>
      <c r="B19">
        <v>17</v>
      </c>
      <c r="D19" t="s">
        <v>112</v>
      </c>
      <c r="E19" s="3" t="s">
        <v>107</v>
      </c>
      <c r="F19" s="3" t="s">
        <v>108</v>
      </c>
      <c r="G19" s="24" t="s">
        <v>38</v>
      </c>
      <c r="H19" s="3" t="s">
        <v>32</v>
      </c>
      <c r="I19" s="25">
        <f>BIN2DEC(TableOpcodes[[#This Row],[OPCODE]])</f>
        <v>35</v>
      </c>
      <c r="J19" s="25">
        <f>IF(TableOpcodes[[#This Row],[FUNCT7 or IMM]]="–",,BIN2DEC(TableOpcodes[[#This Row],[FUNCT7 or IMM]]))</f>
        <v>0</v>
      </c>
      <c r="K19" s="25">
        <f>IF(TableOpcodes[[#This Row],[FUNCT3]]="–",,BIN2DEC(TableOpcodes[[#This Row],[FUNCT3]]))</f>
        <v>1</v>
      </c>
      <c r="L19" s="27" t="s">
        <v>113</v>
      </c>
      <c r="M19" s="28" t="s">
        <v>114</v>
      </c>
      <c r="N19" s="30"/>
      <c r="O19" s="30"/>
      <c r="P19" s="30"/>
      <c r="Q19" s="27" t="str">
        <v>lwu</v>
      </c>
    </row>
    <row r="20" spans="1:21" x14ac:dyDescent="0.25">
      <c r="A20" t="s">
        <v>115</v>
      </c>
      <c r="B20">
        <v>18</v>
      </c>
      <c r="D20" t="s">
        <v>116</v>
      </c>
      <c r="E20" s="3" t="s">
        <v>107</v>
      </c>
      <c r="F20" s="3" t="s">
        <v>108</v>
      </c>
      <c r="G20" s="24" t="s">
        <v>44</v>
      </c>
      <c r="H20" s="3" t="s">
        <v>32</v>
      </c>
      <c r="I20" s="25">
        <f>BIN2DEC(TableOpcodes[[#This Row],[OPCODE]])</f>
        <v>35</v>
      </c>
      <c r="J20" s="25">
        <f>IF(TableOpcodes[[#This Row],[FUNCT7 or IMM]]="–",,BIN2DEC(TableOpcodes[[#This Row],[FUNCT7 or IMM]]))</f>
        <v>0</v>
      </c>
      <c r="K20" s="25">
        <f>IF(TableOpcodes[[#This Row],[FUNCT3]]="–",,BIN2DEC(TableOpcodes[[#This Row],[FUNCT3]]))</f>
        <v>2</v>
      </c>
      <c r="L20" s="27" t="s">
        <v>117</v>
      </c>
      <c r="M20" s="28" t="s">
        <v>118</v>
      </c>
      <c r="N20" s="30"/>
      <c r="O20" s="30"/>
      <c r="P20" s="30"/>
      <c r="Q20" s="27" t="str">
        <v>addiw</v>
      </c>
    </row>
    <row r="21" spans="1:21" x14ac:dyDescent="0.25">
      <c r="A21" t="s">
        <v>119</v>
      </c>
      <c r="B21">
        <v>19</v>
      </c>
      <c r="D21" t="s">
        <v>120</v>
      </c>
      <c r="E21" s="3" t="s">
        <v>121</v>
      </c>
      <c r="F21" s="3" t="s">
        <v>122</v>
      </c>
      <c r="G21" s="24" t="s">
        <v>31</v>
      </c>
      <c r="H21" s="3" t="s">
        <v>123</v>
      </c>
      <c r="I21" s="25">
        <f>BIN2DEC(TableOpcodes[[#This Row],[OPCODE]])</f>
        <v>51</v>
      </c>
      <c r="J21" s="25">
        <f>IF(TableOpcodes[[#This Row],[FUNCT7 or IMM]]="–",,BIN2DEC(TableOpcodes[[#This Row],[FUNCT7 or IMM]]))</f>
        <v>0</v>
      </c>
      <c r="K21" s="25">
        <f>IF(TableOpcodes[[#This Row],[FUNCT3]]="–",,BIN2DEC(TableOpcodes[[#This Row],[FUNCT3]]))</f>
        <v>0</v>
      </c>
      <c r="L21" s="27" t="s">
        <v>124</v>
      </c>
      <c r="M21" s="28" t="s">
        <v>125</v>
      </c>
      <c r="N21" s="30"/>
      <c r="O21" s="30"/>
      <c r="P21" s="30"/>
      <c r="Q21" s="27" t="str">
        <v>slliw</v>
      </c>
    </row>
    <row r="22" spans="1:21" x14ac:dyDescent="0.25">
      <c r="A22" t="s">
        <v>126</v>
      </c>
      <c r="B22">
        <v>20</v>
      </c>
      <c r="D22" t="s">
        <v>127</v>
      </c>
      <c r="E22" s="3" t="s">
        <v>121</v>
      </c>
      <c r="F22" s="3" t="s">
        <v>122</v>
      </c>
      <c r="G22" s="24" t="s">
        <v>31</v>
      </c>
      <c r="H22" s="3" t="s">
        <v>128</v>
      </c>
      <c r="I22" s="25">
        <f>BIN2DEC(TableOpcodes[[#This Row],[OPCODE]])</f>
        <v>51</v>
      </c>
      <c r="J22" s="25">
        <f>IF(TableOpcodes[[#This Row],[FUNCT7 or IMM]]="–",,BIN2DEC(TableOpcodes[[#This Row],[FUNCT7 or IMM]]))</f>
        <v>32</v>
      </c>
      <c r="K22" s="25">
        <f>IF(TableOpcodes[[#This Row],[FUNCT3]]="–",,BIN2DEC(TableOpcodes[[#This Row],[FUNCT3]]))</f>
        <v>0</v>
      </c>
      <c r="L22" s="27" t="s">
        <v>129</v>
      </c>
      <c r="M22" s="28" t="s">
        <v>130</v>
      </c>
      <c r="N22" s="30"/>
      <c r="O22" s="30"/>
      <c r="P22" s="30"/>
      <c r="Q22" s="27" t="str">
        <v>srliw</v>
      </c>
    </row>
    <row r="23" spans="1:21" ht="18" x14ac:dyDescent="0.25">
      <c r="A23" t="s">
        <v>131</v>
      </c>
      <c r="B23">
        <v>21</v>
      </c>
      <c r="D23" t="s">
        <v>132</v>
      </c>
      <c r="E23" s="3" t="s">
        <v>121</v>
      </c>
      <c r="F23" s="3" t="s">
        <v>122</v>
      </c>
      <c r="G23" s="24" t="s">
        <v>38</v>
      </c>
      <c r="H23" s="3" t="s">
        <v>123</v>
      </c>
      <c r="I23" s="25">
        <f>BIN2DEC(TableOpcodes[[#This Row],[OPCODE]])</f>
        <v>51</v>
      </c>
      <c r="J23" s="25">
        <f>IF(TableOpcodes[[#This Row],[FUNCT7 or IMM]]="–",,BIN2DEC(TableOpcodes[[#This Row],[FUNCT7 or IMM]]))</f>
        <v>0</v>
      </c>
      <c r="K23" s="25">
        <f>IF(TableOpcodes[[#This Row],[FUNCT3]]="–",,BIN2DEC(TableOpcodes[[#This Row],[FUNCT3]]))</f>
        <v>1</v>
      </c>
      <c r="L23" s="27" t="s">
        <v>133</v>
      </c>
      <c r="M23" s="28" t="s">
        <v>134</v>
      </c>
      <c r="N23" s="30"/>
      <c r="O23" s="30"/>
      <c r="P23" s="30"/>
      <c r="Q23" s="27" t="str">
        <v>sraiw</v>
      </c>
    </row>
    <row r="24" spans="1:21" x14ac:dyDescent="0.25">
      <c r="A24" t="s">
        <v>135</v>
      </c>
      <c r="B24">
        <v>22</v>
      </c>
      <c r="D24" t="s">
        <v>136</v>
      </c>
      <c r="E24" s="3" t="s">
        <v>121</v>
      </c>
      <c r="F24" s="3" t="s">
        <v>122</v>
      </c>
      <c r="G24" s="24" t="s">
        <v>44</v>
      </c>
      <c r="H24" s="3" t="s">
        <v>123</v>
      </c>
      <c r="I24" s="25">
        <f>BIN2DEC(TableOpcodes[[#This Row],[OPCODE]])</f>
        <v>51</v>
      </c>
      <c r="J24" s="25">
        <f>IF(TableOpcodes[[#This Row],[FUNCT7 or IMM]]="–",,BIN2DEC(TableOpcodes[[#This Row],[FUNCT7 or IMM]]))</f>
        <v>0</v>
      </c>
      <c r="K24" s="25">
        <f>IF(TableOpcodes[[#This Row],[FUNCT3]]="–",,BIN2DEC(TableOpcodes[[#This Row],[FUNCT3]]))</f>
        <v>2</v>
      </c>
      <c r="L24" s="27" t="s">
        <v>137</v>
      </c>
      <c r="M24" s="28" t="s">
        <v>138</v>
      </c>
      <c r="N24" s="30"/>
      <c r="O24" s="30"/>
    </row>
    <row r="25" spans="1:21" x14ac:dyDescent="0.25">
      <c r="A25" t="s">
        <v>139</v>
      </c>
      <c r="B25">
        <v>23</v>
      </c>
      <c r="D25" t="s">
        <v>140</v>
      </c>
      <c r="E25" s="3" t="s">
        <v>121</v>
      </c>
      <c r="F25" s="3" t="s">
        <v>122</v>
      </c>
      <c r="G25" s="24" t="s">
        <v>74</v>
      </c>
      <c r="H25" s="3" t="s">
        <v>123</v>
      </c>
      <c r="I25" s="25">
        <f>BIN2DEC(TableOpcodes[[#This Row],[OPCODE]])</f>
        <v>51</v>
      </c>
      <c r="J25" s="25">
        <f>IF(TableOpcodes[[#This Row],[FUNCT7 or IMM]]="–",,BIN2DEC(TableOpcodes[[#This Row],[FUNCT7 or IMM]]))</f>
        <v>0</v>
      </c>
      <c r="K25" s="25">
        <f>IF(TableOpcodes[[#This Row],[FUNCT3]]="–",,BIN2DEC(TableOpcodes[[#This Row],[FUNCT3]]))</f>
        <v>3</v>
      </c>
      <c r="L25" s="27" t="s">
        <v>141</v>
      </c>
      <c r="M25" s="28" t="s">
        <v>138</v>
      </c>
      <c r="N25" s="30"/>
      <c r="O25" s="30"/>
      <c r="P25" s="52" t="s">
        <v>142</v>
      </c>
      <c r="Q25" s="52" t="s">
        <v>143</v>
      </c>
      <c r="R25" s="52" t="s">
        <v>144</v>
      </c>
      <c r="U25" s="52"/>
    </row>
    <row r="26" spans="1:21" ht="15.75" x14ac:dyDescent="0.3">
      <c r="A26" t="s">
        <v>145</v>
      </c>
      <c r="B26">
        <v>24</v>
      </c>
      <c r="D26" t="s">
        <v>146</v>
      </c>
      <c r="E26" s="3" t="s">
        <v>121</v>
      </c>
      <c r="F26" s="3" t="s">
        <v>122</v>
      </c>
      <c r="G26" s="24" t="s">
        <v>49</v>
      </c>
      <c r="H26" s="3" t="s">
        <v>123</v>
      </c>
      <c r="I26" s="25">
        <f>BIN2DEC(TableOpcodes[[#This Row],[OPCODE]])</f>
        <v>51</v>
      </c>
      <c r="J26" s="25">
        <f>IF(TableOpcodes[[#This Row],[FUNCT7 or IMM]]="–",,BIN2DEC(TableOpcodes[[#This Row],[FUNCT7 or IMM]]))</f>
        <v>0</v>
      </c>
      <c r="K26" s="25">
        <f>IF(TableOpcodes[[#This Row],[FUNCT3]]="–",,BIN2DEC(TableOpcodes[[#This Row],[FUNCT3]]))</f>
        <v>4</v>
      </c>
      <c r="L26" s="27" t="s">
        <v>147</v>
      </c>
      <c r="M26" s="28" t="s">
        <v>148</v>
      </c>
      <c r="N26" s="30"/>
      <c r="O26" s="30"/>
      <c r="P26" s="53" t="s">
        <v>149</v>
      </c>
      <c r="Q26" s="51" t="s">
        <v>150</v>
      </c>
      <c r="R26" s="147" t="s">
        <v>151</v>
      </c>
    </row>
    <row r="27" spans="1:21" ht="18" x14ac:dyDescent="0.3">
      <c r="A27" t="s">
        <v>152</v>
      </c>
      <c r="B27">
        <v>25</v>
      </c>
      <c r="D27" t="s">
        <v>153</v>
      </c>
      <c r="E27" s="3" t="s">
        <v>121</v>
      </c>
      <c r="F27" s="3" t="s">
        <v>122</v>
      </c>
      <c r="G27" s="24" t="s">
        <v>55</v>
      </c>
      <c r="H27" s="3" t="s">
        <v>123</v>
      </c>
      <c r="I27" s="25">
        <f>BIN2DEC(TableOpcodes[[#This Row],[OPCODE]])</f>
        <v>51</v>
      </c>
      <c r="J27" s="25">
        <f>IF(TableOpcodes[[#This Row],[FUNCT7 or IMM]]="–",,BIN2DEC(TableOpcodes[[#This Row],[FUNCT7 or IMM]]))</f>
        <v>0</v>
      </c>
      <c r="K27" s="25">
        <f>IF(TableOpcodes[[#This Row],[FUNCT3]]="–",,BIN2DEC(TableOpcodes[[#This Row],[FUNCT3]]))</f>
        <v>5</v>
      </c>
      <c r="L27" s="27" t="s">
        <v>154</v>
      </c>
      <c r="M27" s="28" t="s">
        <v>155</v>
      </c>
      <c r="N27" s="30"/>
      <c r="O27" s="30"/>
      <c r="P27" s="53" t="s">
        <v>156</v>
      </c>
      <c r="Q27" s="51" t="s">
        <v>157</v>
      </c>
      <c r="R27" s="147"/>
    </row>
    <row r="28" spans="1:21" ht="18" x14ac:dyDescent="0.25">
      <c r="A28" t="s">
        <v>158</v>
      </c>
      <c r="B28">
        <v>26</v>
      </c>
      <c r="D28" t="s">
        <v>159</v>
      </c>
      <c r="E28" s="3" t="s">
        <v>121</v>
      </c>
      <c r="F28" s="3" t="s">
        <v>122</v>
      </c>
      <c r="G28" s="24" t="s">
        <v>55</v>
      </c>
      <c r="H28" s="3" t="s">
        <v>128</v>
      </c>
      <c r="I28" s="25">
        <f>BIN2DEC(TableOpcodes[[#This Row],[OPCODE]])</f>
        <v>51</v>
      </c>
      <c r="J28" s="25">
        <f>IF(TableOpcodes[[#This Row],[FUNCT7 or IMM]]="–",,BIN2DEC(TableOpcodes[[#This Row],[FUNCT7 or IMM]]))</f>
        <v>32</v>
      </c>
      <c r="K28" s="25">
        <f>IF(TableOpcodes[[#This Row],[FUNCT3]]="–",,BIN2DEC(TableOpcodes[[#This Row],[FUNCT3]]))</f>
        <v>5</v>
      </c>
      <c r="L28" s="27" t="s">
        <v>160</v>
      </c>
      <c r="M28" s="28" t="s">
        <v>161</v>
      </c>
      <c r="N28" s="30"/>
      <c r="O28" s="30"/>
      <c r="Q28" s="27"/>
    </row>
    <row r="29" spans="1:21" x14ac:dyDescent="0.25">
      <c r="A29" t="s">
        <v>162</v>
      </c>
      <c r="B29">
        <v>27</v>
      </c>
      <c r="D29" t="s">
        <v>163</v>
      </c>
      <c r="E29" s="3" t="s">
        <v>121</v>
      </c>
      <c r="F29" s="3" t="s">
        <v>122</v>
      </c>
      <c r="G29" s="24" t="s">
        <v>91</v>
      </c>
      <c r="H29" s="3" t="s">
        <v>123</v>
      </c>
      <c r="I29" s="25">
        <f>BIN2DEC(TableOpcodes[[#This Row],[OPCODE]])</f>
        <v>51</v>
      </c>
      <c r="J29" s="25">
        <f>IF(TableOpcodes[[#This Row],[FUNCT7 or IMM]]="–",,BIN2DEC(TableOpcodes[[#This Row],[FUNCT7 or IMM]]))</f>
        <v>0</v>
      </c>
      <c r="K29" s="25">
        <f>IF(TableOpcodes[[#This Row],[FUNCT3]]="–",,BIN2DEC(TableOpcodes[[#This Row],[FUNCT3]]))</f>
        <v>6</v>
      </c>
      <c r="L29" s="27" t="s">
        <v>164</v>
      </c>
      <c r="M29" s="28" t="s">
        <v>165</v>
      </c>
      <c r="N29" s="30"/>
      <c r="O29" s="30"/>
      <c r="P29" s="52" t="s">
        <v>142</v>
      </c>
      <c r="Q29" s="52"/>
      <c r="R29" s="52" t="s">
        <v>166</v>
      </c>
    </row>
    <row r="30" spans="1:21" ht="15.75" x14ac:dyDescent="0.25">
      <c r="A30" t="s">
        <v>167</v>
      </c>
      <c r="B30">
        <v>28</v>
      </c>
      <c r="D30" t="s">
        <v>168</v>
      </c>
      <c r="E30" s="3" t="s">
        <v>121</v>
      </c>
      <c r="F30" s="3" t="s">
        <v>122</v>
      </c>
      <c r="G30" s="24" t="s">
        <v>96</v>
      </c>
      <c r="H30" s="3" t="s">
        <v>123</v>
      </c>
      <c r="I30" s="25">
        <f>BIN2DEC(TableOpcodes[[#This Row],[OPCODE]])</f>
        <v>51</v>
      </c>
      <c r="J30" s="25">
        <f>IF(TableOpcodes[[#This Row],[FUNCT7 or IMM]]="–",,BIN2DEC(TableOpcodes[[#This Row],[FUNCT7 or IMM]]))</f>
        <v>0</v>
      </c>
      <c r="K30" s="25">
        <f>IF(TableOpcodes[[#This Row],[FUNCT3]]="–",,BIN2DEC(TableOpcodes[[#This Row],[FUNCT3]]))</f>
        <v>7</v>
      </c>
      <c r="L30" s="27" t="s">
        <v>169</v>
      </c>
      <c r="M30" s="28" t="s">
        <v>170</v>
      </c>
      <c r="N30" s="30"/>
      <c r="O30" s="30"/>
      <c r="P30" s="30" t="s">
        <v>171</v>
      </c>
      <c r="R30" s="57" t="s">
        <v>172</v>
      </c>
      <c r="S30" t="s">
        <v>173</v>
      </c>
    </row>
    <row r="31" spans="1:21" ht="15.75" x14ac:dyDescent="0.25">
      <c r="A31" t="s">
        <v>174</v>
      </c>
      <c r="B31">
        <v>29</v>
      </c>
      <c r="D31" t="s">
        <v>175</v>
      </c>
      <c r="E31" s="3" t="s">
        <v>101</v>
      </c>
      <c r="F31" s="3" t="s">
        <v>176</v>
      </c>
      <c r="G31" s="24" t="s">
        <v>32</v>
      </c>
      <c r="H31" s="3" t="s">
        <v>32</v>
      </c>
      <c r="I31" s="25">
        <f>BIN2DEC(TableOpcodes[[#This Row],[OPCODE]])</f>
        <v>55</v>
      </c>
      <c r="J31" s="25">
        <f>IF(TableOpcodes[[#This Row],[FUNCT7 or IMM]]="–",,BIN2DEC(TableOpcodes[[#This Row],[FUNCT7 or IMM]]))</f>
        <v>0</v>
      </c>
      <c r="K31" s="25">
        <f>IF(TableOpcodes[[#This Row],[FUNCT3]]="–",,BIN2DEC(TableOpcodes[[#This Row],[FUNCT3]]))</f>
        <v>0</v>
      </c>
      <c r="L31" s="27" t="s">
        <v>177</v>
      </c>
      <c r="M31" s="28" t="s">
        <v>178</v>
      </c>
      <c r="N31" s="30"/>
      <c r="O31" s="30"/>
      <c r="P31" s="30" t="s">
        <v>179</v>
      </c>
      <c r="R31" s="57" t="s">
        <v>180</v>
      </c>
    </row>
    <row r="32" spans="1:21" ht="15.75" x14ac:dyDescent="0.3">
      <c r="A32" t="s">
        <v>181</v>
      </c>
      <c r="B32">
        <v>30</v>
      </c>
      <c r="D32" t="s">
        <v>182</v>
      </c>
      <c r="E32" s="3" t="s">
        <v>183</v>
      </c>
      <c r="F32" s="3" t="s">
        <v>184</v>
      </c>
      <c r="G32" s="24" t="s">
        <v>31</v>
      </c>
      <c r="H32" s="3" t="s">
        <v>32</v>
      </c>
      <c r="I32" s="25">
        <f>BIN2DEC(TableOpcodes[[#This Row],[OPCODE]])</f>
        <v>99</v>
      </c>
      <c r="J32" s="25">
        <f>IF(TableOpcodes[[#This Row],[FUNCT7 or IMM]]="–",,BIN2DEC(TableOpcodes[[#This Row],[FUNCT7 or IMM]]))</f>
        <v>0</v>
      </c>
      <c r="K32" s="25">
        <f>IF(TableOpcodes[[#This Row],[FUNCT3]]="–",,BIN2DEC(TableOpcodes[[#This Row],[FUNCT3]]))</f>
        <v>0</v>
      </c>
      <c r="L32" s="27" t="s">
        <v>185</v>
      </c>
      <c r="M32" s="28" t="s">
        <v>186</v>
      </c>
      <c r="N32" s="30"/>
      <c r="O32" s="30"/>
      <c r="P32" s="30" t="s">
        <v>187</v>
      </c>
      <c r="Q32" s="27"/>
      <c r="R32" s="59" t="s">
        <v>188</v>
      </c>
    </row>
    <row r="33" spans="1:17" x14ac:dyDescent="0.25">
      <c r="A33" t="s">
        <v>189</v>
      </c>
      <c r="B33">
        <v>31</v>
      </c>
      <c r="D33" t="s">
        <v>190</v>
      </c>
      <c r="E33" s="3" t="s">
        <v>183</v>
      </c>
      <c r="F33" s="3" t="s">
        <v>184</v>
      </c>
      <c r="G33" s="24" t="s">
        <v>38</v>
      </c>
      <c r="H33" s="3" t="s">
        <v>32</v>
      </c>
      <c r="I33" s="25">
        <f>BIN2DEC(TableOpcodes[[#This Row],[OPCODE]])</f>
        <v>99</v>
      </c>
      <c r="J33" s="25">
        <f>IF(TableOpcodes[[#This Row],[FUNCT7 or IMM]]="–",,BIN2DEC(TableOpcodes[[#This Row],[FUNCT7 or IMM]]))</f>
        <v>0</v>
      </c>
      <c r="K33" s="25">
        <f>IF(TableOpcodes[[#This Row],[FUNCT3]]="–",,BIN2DEC(TableOpcodes[[#This Row],[FUNCT3]]))</f>
        <v>1</v>
      </c>
      <c r="L33" s="27" t="s">
        <v>191</v>
      </c>
      <c r="M33" s="28" t="s">
        <v>192</v>
      </c>
      <c r="N33" s="30"/>
      <c r="O33" s="30"/>
      <c r="P33" s="30"/>
      <c r="Q33" s="27"/>
    </row>
    <row r="34" spans="1:17" x14ac:dyDescent="0.25">
      <c r="D34" t="s">
        <v>193</v>
      </c>
      <c r="E34" s="3" t="s">
        <v>183</v>
      </c>
      <c r="F34" s="3">
        <v>1100011</v>
      </c>
      <c r="G34" s="24" t="s">
        <v>49</v>
      </c>
      <c r="H34" s="3" t="s">
        <v>32</v>
      </c>
      <c r="I34" s="25">
        <f>BIN2DEC(TableOpcodes[[#This Row],[OPCODE]])</f>
        <v>99</v>
      </c>
      <c r="J34" s="25">
        <f>IF(TableOpcodes[[#This Row],[FUNCT7 or IMM]]="–",,BIN2DEC(TableOpcodes[[#This Row],[FUNCT7 or IMM]]))</f>
        <v>0</v>
      </c>
      <c r="K34" s="25">
        <f>IF(TableOpcodes[[#This Row],[FUNCT3]]="–",,BIN2DEC(TableOpcodes[[#This Row],[FUNCT3]]))</f>
        <v>4</v>
      </c>
      <c r="L34" s="27" t="s">
        <v>194</v>
      </c>
      <c r="M34" s="28" t="s">
        <v>195</v>
      </c>
      <c r="N34" s="30"/>
      <c r="O34" s="30"/>
      <c r="P34" s="30"/>
      <c r="Q34" s="27"/>
    </row>
    <row r="35" spans="1:17" x14ac:dyDescent="0.25">
      <c r="D35" t="s">
        <v>196</v>
      </c>
      <c r="E35" s="3" t="s">
        <v>183</v>
      </c>
      <c r="F35" s="3" t="s">
        <v>184</v>
      </c>
      <c r="G35" s="24" t="s">
        <v>55</v>
      </c>
      <c r="H35" s="3" t="s">
        <v>32</v>
      </c>
      <c r="I35" s="25">
        <f>BIN2DEC(TableOpcodes[[#This Row],[OPCODE]])</f>
        <v>99</v>
      </c>
      <c r="J35" s="25">
        <f>IF(TableOpcodes[[#This Row],[FUNCT7 or IMM]]="–",,BIN2DEC(TableOpcodes[[#This Row],[FUNCT7 or IMM]]))</f>
        <v>0</v>
      </c>
      <c r="K35" s="25">
        <f>IF(TableOpcodes[[#This Row],[FUNCT3]]="–",,BIN2DEC(TableOpcodes[[#This Row],[FUNCT3]]))</f>
        <v>5</v>
      </c>
      <c r="L35" s="27" t="s">
        <v>197</v>
      </c>
      <c r="M35" s="28" t="s">
        <v>198</v>
      </c>
      <c r="N35" s="30"/>
      <c r="O35" s="30"/>
      <c r="P35" s="30"/>
      <c r="Q35" s="27"/>
    </row>
    <row r="36" spans="1:17" x14ac:dyDescent="0.25">
      <c r="D36" t="s">
        <v>199</v>
      </c>
      <c r="E36" s="3" t="s">
        <v>183</v>
      </c>
      <c r="F36" s="3" t="s">
        <v>184</v>
      </c>
      <c r="G36" s="24" t="s">
        <v>91</v>
      </c>
      <c r="H36" s="3" t="s">
        <v>32</v>
      </c>
      <c r="I36" s="25">
        <f>BIN2DEC(TableOpcodes[[#This Row],[OPCODE]])</f>
        <v>99</v>
      </c>
      <c r="J36" s="25">
        <f>IF(TableOpcodes[[#This Row],[FUNCT7 or IMM]]="–",,BIN2DEC(TableOpcodes[[#This Row],[FUNCT7 or IMM]]))</f>
        <v>0</v>
      </c>
      <c r="K36" s="25">
        <f>IF(TableOpcodes[[#This Row],[FUNCT3]]="–",,BIN2DEC(TableOpcodes[[#This Row],[FUNCT3]]))</f>
        <v>6</v>
      </c>
      <c r="L36" s="27" t="s">
        <v>200</v>
      </c>
      <c r="M36" s="28" t="s">
        <v>195</v>
      </c>
      <c r="N36" s="30"/>
      <c r="O36" s="30"/>
      <c r="P36" s="30"/>
      <c r="Q36" s="27"/>
    </row>
    <row r="37" spans="1:17" x14ac:dyDescent="0.25">
      <c r="D37" t="s">
        <v>201</v>
      </c>
      <c r="E37" s="3" t="s">
        <v>183</v>
      </c>
      <c r="F37" s="3" t="s">
        <v>184</v>
      </c>
      <c r="G37" s="24" t="s">
        <v>96</v>
      </c>
      <c r="H37" s="3" t="s">
        <v>32</v>
      </c>
      <c r="I37" s="25">
        <f>BIN2DEC(TableOpcodes[[#This Row],[OPCODE]])</f>
        <v>99</v>
      </c>
      <c r="J37" s="25">
        <f>IF(TableOpcodes[[#This Row],[FUNCT7 or IMM]]="–",,BIN2DEC(TableOpcodes[[#This Row],[FUNCT7 or IMM]]))</f>
        <v>0</v>
      </c>
      <c r="K37" s="25">
        <f>IF(TableOpcodes[[#This Row],[FUNCT3]]="–",,BIN2DEC(TableOpcodes[[#This Row],[FUNCT3]]))</f>
        <v>7</v>
      </c>
      <c r="L37" s="27" t="s">
        <v>202</v>
      </c>
      <c r="M37" s="28" t="s">
        <v>198</v>
      </c>
      <c r="N37" s="30"/>
      <c r="O37" s="30"/>
      <c r="P37" s="30"/>
      <c r="Q37" s="27"/>
    </row>
    <row r="38" spans="1:17" x14ac:dyDescent="0.25">
      <c r="D38" t="s">
        <v>156</v>
      </c>
      <c r="E38" s="3" t="s">
        <v>29</v>
      </c>
      <c r="F38" s="3" t="s">
        <v>203</v>
      </c>
      <c r="G38" s="24" t="s">
        <v>31</v>
      </c>
      <c r="H38" s="3" t="s">
        <v>32</v>
      </c>
      <c r="I38" s="25">
        <f>BIN2DEC(TableOpcodes[[#This Row],[OPCODE]])</f>
        <v>103</v>
      </c>
      <c r="J38" s="25">
        <f>IF(TableOpcodes[[#This Row],[FUNCT7 or IMM]]="–",,BIN2DEC(TableOpcodes[[#This Row],[FUNCT7 or IMM]]))</f>
        <v>0</v>
      </c>
      <c r="K38" s="25">
        <f>IF(TableOpcodes[[#This Row],[FUNCT3]]="–",,BIN2DEC(TableOpcodes[[#This Row],[FUNCT3]]))</f>
        <v>0</v>
      </c>
      <c r="L38" s="27" t="s">
        <v>204</v>
      </c>
      <c r="M38" s="28" t="s">
        <v>205</v>
      </c>
      <c r="N38" s="30"/>
      <c r="O38" s="30"/>
      <c r="Q38" s="27"/>
    </row>
    <row r="39" spans="1:17" x14ac:dyDescent="0.25">
      <c r="D39" t="s">
        <v>149</v>
      </c>
      <c r="E39" s="3" t="s">
        <v>206</v>
      </c>
      <c r="F39" s="3" t="s">
        <v>207</v>
      </c>
      <c r="G39" s="24" t="s">
        <v>32</v>
      </c>
      <c r="H39" s="3" t="s">
        <v>32</v>
      </c>
      <c r="I39" s="25">
        <f>BIN2DEC(TableOpcodes[[#This Row],[OPCODE]])</f>
        <v>111</v>
      </c>
      <c r="J39" s="25">
        <f>IF(TableOpcodes[[#This Row],[FUNCT7 or IMM]]="–",,BIN2DEC(TableOpcodes[[#This Row],[FUNCT7 or IMM]]))</f>
        <v>0</v>
      </c>
      <c r="K39" s="25">
        <f>IF(TableOpcodes[[#This Row],[FUNCT3]]="–",,BIN2DEC(TableOpcodes[[#This Row],[FUNCT3]]))</f>
        <v>0</v>
      </c>
      <c r="L39" s="27" t="s">
        <v>208</v>
      </c>
      <c r="M39" s="28" t="s">
        <v>209</v>
      </c>
      <c r="N39" s="30"/>
      <c r="O39" s="30"/>
      <c r="Q39" s="27"/>
    </row>
    <row r="40" spans="1:17" ht="18" x14ac:dyDescent="0.25">
      <c r="D40" t="s">
        <v>210</v>
      </c>
      <c r="E40" s="3" t="s">
        <v>29</v>
      </c>
      <c r="F40" s="3" t="s">
        <v>30</v>
      </c>
      <c r="G40" s="24" t="s">
        <v>74</v>
      </c>
      <c r="H40" s="3" t="s">
        <v>32</v>
      </c>
      <c r="I40" s="25">
        <f>BIN2DEC(TableOpcodes[[#This Row],[OPCODE]])</f>
        <v>3</v>
      </c>
      <c r="J40" s="25">
        <f>IF(TableOpcodes[[#This Row],[FUNCT7 or IMM]]="–",,BIN2DEC(TableOpcodes[[#This Row],[FUNCT7 or IMM]]))</f>
        <v>0</v>
      </c>
      <c r="K40" s="25">
        <f>IF(TableOpcodes[[#This Row],[FUNCT3]]="–",,BIN2DEC(TableOpcodes[[#This Row],[FUNCT3]]))</f>
        <v>3</v>
      </c>
      <c r="L40" s="27" t="s">
        <v>211</v>
      </c>
      <c r="M40" s="28" t="s">
        <v>212</v>
      </c>
      <c r="N40" s="30"/>
      <c r="Q40" s="27"/>
    </row>
    <row r="41" spans="1:17" ht="18" x14ac:dyDescent="0.25">
      <c r="D41" t="s">
        <v>213</v>
      </c>
      <c r="E41" s="3" t="s">
        <v>29</v>
      </c>
      <c r="F41" s="3" t="s">
        <v>30</v>
      </c>
      <c r="G41" s="24" t="s">
        <v>91</v>
      </c>
      <c r="H41" s="3" t="s">
        <v>32</v>
      </c>
      <c r="I41" s="25">
        <f>BIN2DEC(TableOpcodes[[#This Row],[OPCODE]])</f>
        <v>3</v>
      </c>
      <c r="J41" s="25">
        <f>IF(TableOpcodes[[#This Row],[FUNCT7 or IMM]]="–",,BIN2DEC(TableOpcodes[[#This Row],[FUNCT7 or IMM]]))</f>
        <v>0</v>
      </c>
      <c r="K41" s="25">
        <f>IF(TableOpcodes[[#This Row],[FUNCT3]]="–",,BIN2DEC(TableOpcodes[[#This Row],[FUNCT3]]))</f>
        <v>6</v>
      </c>
      <c r="L41" s="29" t="s">
        <v>214</v>
      </c>
      <c r="M41" s="28" t="s">
        <v>215</v>
      </c>
      <c r="N41" s="30"/>
      <c r="O41" s="30"/>
      <c r="Q41" s="27"/>
    </row>
    <row r="42" spans="1:17" ht="18" x14ac:dyDescent="0.25">
      <c r="D42" t="s">
        <v>216</v>
      </c>
      <c r="E42" s="3" t="s">
        <v>29</v>
      </c>
      <c r="F42" s="3" t="s">
        <v>217</v>
      </c>
      <c r="G42" s="24" t="s">
        <v>31</v>
      </c>
      <c r="H42" s="3" t="s">
        <v>32</v>
      </c>
      <c r="I42" s="25">
        <f>BIN2DEC(TableOpcodes[[#This Row],[OPCODE]])</f>
        <v>27</v>
      </c>
      <c r="J42" s="25">
        <f>IF(TableOpcodes[[#This Row],[FUNCT7 or IMM]]="–",,BIN2DEC(TableOpcodes[[#This Row],[FUNCT7 or IMM]]))</f>
        <v>0</v>
      </c>
      <c r="K42" s="25">
        <f>IF(TableOpcodes[[#This Row],[FUNCT3]]="–",,BIN2DEC(TableOpcodes[[#This Row],[FUNCT3]]))</f>
        <v>0</v>
      </c>
      <c r="L42" s="27" t="s">
        <v>218</v>
      </c>
      <c r="M42" s="28" t="s">
        <v>219</v>
      </c>
      <c r="N42" s="30"/>
      <c r="O42" s="30"/>
      <c r="P42" s="30"/>
      <c r="Q42" s="27"/>
    </row>
    <row r="43" spans="1:17" ht="18" x14ac:dyDescent="0.25">
      <c r="D43" t="s">
        <v>220</v>
      </c>
      <c r="E43" s="3" t="s">
        <v>29</v>
      </c>
      <c r="F43" s="3" t="s">
        <v>217</v>
      </c>
      <c r="G43" s="24" t="s">
        <v>38</v>
      </c>
      <c r="H43" s="3" t="s">
        <v>123</v>
      </c>
      <c r="I43" s="25">
        <f>BIN2DEC(TableOpcodes[[#This Row],[OPCODE]])</f>
        <v>27</v>
      </c>
      <c r="J43" s="25">
        <f>IF(TableOpcodes[[#This Row],[FUNCT7 or IMM]]="–",,BIN2DEC(TableOpcodes[[#This Row],[FUNCT7 or IMM]]))</f>
        <v>0</v>
      </c>
      <c r="K43" s="25">
        <f>IF(TableOpcodes[[#This Row],[FUNCT3]]="–",,BIN2DEC(TableOpcodes[[#This Row],[FUNCT3]]))</f>
        <v>1</v>
      </c>
      <c r="L43" s="27" t="s">
        <v>221</v>
      </c>
      <c r="M43" s="28" t="s">
        <v>222</v>
      </c>
      <c r="N43" s="30"/>
      <c r="O43" s="30"/>
      <c r="P43" s="30"/>
      <c r="Q43" s="27"/>
    </row>
    <row r="44" spans="1:17" ht="18" x14ac:dyDescent="0.25">
      <c r="D44" t="s">
        <v>223</v>
      </c>
      <c r="E44" s="3" t="s">
        <v>29</v>
      </c>
      <c r="F44" s="3" t="s">
        <v>217</v>
      </c>
      <c r="G44" s="24" t="s">
        <v>55</v>
      </c>
      <c r="H44" s="3" t="s">
        <v>123</v>
      </c>
      <c r="I44" s="25">
        <f>BIN2DEC(TableOpcodes[[#This Row],[OPCODE]])</f>
        <v>27</v>
      </c>
      <c r="J44" s="25">
        <f>IF(TableOpcodes[[#This Row],[FUNCT7 or IMM]]="–",,BIN2DEC(TableOpcodes[[#This Row],[FUNCT7 or IMM]]))</f>
        <v>0</v>
      </c>
      <c r="K44" s="25">
        <f>IF(TableOpcodes[[#This Row],[FUNCT3]]="–",,BIN2DEC(TableOpcodes[[#This Row],[FUNCT3]]))</f>
        <v>5</v>
      </c>
      <c r="L44" s="27" t="s">
        <v>224</v>
      </c>
      <c r="M44" s="28" t="s">
        <v>225</v>
      </c>
      <c r="N44" s="30"/>
      <c r="O44" s="30"/>
      <c r="Q44" s="27"/>
    </row>
    <row r="45" spans="1:17" ht="18" x14ac:dyDescent="0.25">
      <c r="D45" t="s">
        <v>226</v>
      </c>
      <c r="E45" s="3" t="s">
        <v>29</v>
      </c>
      <c r="F45" s="3" t="s">
        <v>217</v>
      </c>
      <c r="G45" s="24" t="s">
        <v>55</v>
      </c>
      <c r="H45" s="3" t="s">
        <v>128</v>
      </c>
      <c r="I45" s="25">
        <f>BIN2DEC(TableOpcodes[[#This Row],[OPCODE]])</f>
        <v>27</v>
      </c>
      <c r="J45" s="25">
        <f>IF(TableOpcodes[[#This Row],[FUNCT7 or IMM]]="–",,BIN2DEC(TableOpcodes[[#This Row],[FUNCT7 or IMM]]))</f>
        <v>32</v>
      </c>
      <c r="K45" s="25">
        <f>IF(TableOpcodes[[#This Row],[FUNCT3]]="–",,BIN2DEC(TableOpcodes[[#This Row],[FUNCT3]]))</f>
        <v>5</v>
      </c>
      <c r="L45" s="27" t="s">
        <v>227</v>
      </c>
      <c r="M45" s="28" t="s">
        <v>228</v>
      </c>
      <c r="N45" s="30"/>
      <c r="O45" s="30"/>
      <c r="Q45" s="27"/>
    </row>
    <row r="46" spans="1:17" x14ac:dyDescent="0.25">
      <c r="D46" t="s">
        <v>229</v>
      </c>
      <c r="E46" s="3" t="s">
        <v>107</v>
      </c>
      <c r="F46" s="3" t="s">
        <v>108</v>
      </c>
      <c r="G46" s="24" t="s">
        <v>74</v>
      </c>
      <c r="H46" s="3" t="s">
        <v>32</v>
      </c>
      <c r="I46" s="25">
        <f>BIN2DEC(TableOpcodes[[#This Row],[OPCODE]])</f>
        <v>35</v>
      </c>
      <c r="J46" s="25">
        <f>IF(TableOpcodes[[#This Row],[FUNCT7 or IMM]]="–",,BIN2DEC(TableOpcodes[[#This Row],[FUNCT7 or IMM]]))</f>
        <v>0</v>
      </c>
      <c r="K46" s="25">
        <f>IF(TableOpcodes[[#This Row],[FUNCT3]]="–",,BIN2DEC(TableOpcodes[[#This Row],[FUNCT3]]))</f>
        <v>3</v>
      </c>
      <c r="L46" s="27" t="s">
        <v>230</v>
      </c>
      <c r="M46" s="28" t="s">
        <v>231</v>
      </c>
      <c r="N46" s="30"/>
      <c r="O46" s="30"/>
      <c r="Q46" s="27"/>
    </row>
    <row r="47" spans="1:17" ht="18" x14ac:dyDescent="0.25">
      <c r="D47" t="s">
        <v>232</v>
      </c>
      <c r="E47" s="3" t="s">
        <v>121</v>
      </c>
      <c r="F47" s="3" t="s">
        <v>108</v>
      </c>
      <c r="G47" s="24" t="s">
        <v>31</v>
      </c>
      <c r="H47" s="3" t="s">
        <v>123</v>
      </c>
      <c r="I47" s="25">
        <f>BIN2DEC(TableOpcodes[[#This Row],[OPCODE]])</f>
        <v>35</v>
      </c>
      <c r="J47" s="25">
        <f>IF(TableOpcodes[[#This Row],[FUNCT7 or IMM]]="–",,BIN2DEC(TableOpcodes[[#This Row],[FUNCT7 or IMM]]))</f>
        <v>0</v>
      </c>
      <c r="K47" s="25">
        <f>IF(TableOpcodes[[#This Row],[FUNCT3]]="–",,BIN2DEC(TableOpcodes[[#This Row],[FUNCT3]]))</f>
        <v>0</v>
      </c>
      <c r="L47" s="27" t="s">
        <v>233</v>
      </c>
      <c r="M47" s="28" t="s">
        <v>234</v>
      </c>
      <c r="N47" s="30"/>
      <c r="O47" s="30"/>
      <c r="Q47" s="27"/>
    </row>
    <row r="48" spans="1:17" ht="18" x14ac:dyDescent="0.25">
      <c r="D48" t="s">
        <v>235</v>
      </c>
      <c r="E48" s="3" t="s">
        <v>121</v>
      </c>
      <c r="F48" s="3" t="s">
        <v>108</v>
      </c>
      <c r="G48" s="24" t="s">
        <v>31</v>
      </c>
      <c r="H48" s="3" t="s">
        <v>128</v>
      </c>
      <c r="I48" s="25">
        <f>BIN2DEC(TableOpcodes[[#This Row],[OPCODE]])</f>
        <v>35</v>
      </c>
      <c r="J48" s="25">
        <f>IF(TableOpcodes[[#This Row],[FUNCT7 or IMM]]="–",,BIN2DEC(TableOpcodes[[#This Row],[FUNCT7 or IMM]]))</f>
        <v>32</v>
      </c>
      <c r="K48" s="25">
        <f>IF(TableOpcodes[[#This Row],[FUNCT3]]="–",,BIN2DEC(TableOpcodes[[#This Row],[FUNCT3]]))</f>
        <v>0</v>
      </c>
      <c r="L48" s="27" t="s">
        <v>236</v>
      </c>
      <c r="M48" s="28" t="s">
        <v>237</v>
      </c>
      <c r="N48" s="30"/>
      <c r="O48" s="30"/>
      <c r="P48" s="30"/>
      <c r="Q48" s="27"/>
    </row>
    <row r="49" spans="4:17" ht="18" x14ac:dyDescent="0.25">
      <c r="D49" t="s">
        <v>238</v>
      </c>
      <c r="E49" s="3" t="s">
        <v>121</v>
      </c>
      <c r="F49" s="3" t="s">
        <v>108</v>
      </c>
      <c r="G49" s="24" t="s">
        <v>38</v>
      </c>
      <c r="H49" s="3" t="s">
        <v>123</v>
      </c>
      <c r="I49" s="25">
        <f>BIN2DEC(TableOpcodes[[#This Row],[OPCODE]])</f>
        <v>35</v>
      </c>
      <c r="J49" s="25">
        <f>IF(TableOpcodes[[#This Row],[FUNCT7 or IMM]]="–",,BIN2DEC(TableOpcodes[[#This Row],[FUNCT7 or IMM]]))</f>
        <v>0</v>
      </c>
      <c r="K49" s="25">
        <f>IF(TableOpcodes[[#This Row],[FUNCT3]]="–",,BIN2DEC(TableOpcodes[[#This Row],[FUNCT3]]))</f>
        <v>1</v>
      </c>
      <c r="L49" s="27" t="s">
        <v>239</v>
      </c>
      <c r="M49" s="28" t="s">
        <v>240</v>
      </c>
      <c r="N49" s="30"/>
      <c r="O49" s="30"/>
      <c r="P49" s="30"/>
      <c r="Q49" s="27"/>
    </row>
    <row r="50" spans="4:17" ht="18" x14ac:dyDescent="0.25">
      <c r="D50" t="s">
        <v>241</v>
      </c>
      <c r="E50" s="3" t="s">
        <v>121</v>
      </c>
      <c r="F50" s="3" t="s">
        <v>108</v>
      </c>
      <c r="G50" s="24" t="s">
        <v>55</v>
      </c>
      <c r="H50" s="3" t="s">
        <v>123</v>
      </c>
      <c r="I50" s="25">
        <f>BIN2DEC(TableOpcodes[[#This Row],[OPCODE]])</f>
        <v>35</v>
      </c>
      <c r="J50" s="25">
        <f>IF(TableOpcodes[[#This Row],[FUNCT7 or IMM]]="–",,BIN2DEC(TableOpcodes[[#This Row],[FUNCT7 or IMM]]))</f>
        <v>0</v>
      </c>
      <c r="K50" s="25">
        <f>IF(TableOpcodes[[#This Row],[FUNCT3]]="–",,BIN2DEC(TableOpcodes[[#This Row],[FUNCT3]]))</f>
        <v>5</v>
      </c>
      <c r="L50" s="27" t="s">
        <v>242</v>
      </c>
      <c r="M50" s="28" t="s">
        <v>243</v>
      </c>
      <c r="N50" s="30"/>
      <c r="O50" s="30"/>
      <c r="P50" s="30"/>
      <c r="Q50" s="27"/>
    </row>
    <row r="51" spans="4:17" ht="18" x14ac:dyDescent="0.25">
      <c r="D51" t="s">
        <v>244</v>
      </c>
      <c r="E51" s="3" t="s">
        <v>121</v>
      </c>
      <c r="F51" s="3" t="s">
        <v>108</v>
      </c>
      <c r="G51" s="24" t="s">
        <v>55</v>
      </c>
      <c r="H51" s="3" t="s">
        <v>128</v>
      </c>
      <c r="I51" s="25">
        <f>BIN2DEC(TableOpcodes[[#This Row],[OPCODE]])</f>
        <v>35</v>
      </c>
      <c r="J51" s="25">
        <f>IF(TableOpcodes[[#This Row],[FUNCT7 or IMM]]="–",,BIN2DEC(TableOpcodes[[#This Row],[FUNCT7 or IMM]]))</f>
        <v>32</v>
      </c>
      <c r="K51" s="25">
        <f>IF(TableOpcodes[[#This Row],[FUNCT3]]="–",,BIN2DEC(TableOpcodes[[#This Row],[FUNCT3]]))</f>
        <v>5</v>
      </c>
      <c r="L51" s="27" t="s">
        <v>245</v>
      </c>
      <c r="M51" s="28" t="s">
        <v>246</v>
      </c>
      <c r="N51" s="30"/>
      <c r="O51" s="30"/>
      <c r="P51" s="30"/>
      <c r="Q51" s="22"/>
    </row>
  </sheetData>
  <mergeCells count="1">
    <mergeCell ref="R26:R27"/>
  </mergeCells>
  <phoneticPr fontId="9" type="noConversion"/>
  <pageMargins left="0.7" right="0.7" top="0.75" bottom="0.75" header="0.3" footer="0.3"/>
  <pageSetup orientation="portrait" r:id="rId1"/>
  <ignoredErrors>
    <ignoredError sqref="G3:G51 F3:F33 F35:F51" numberStoredAsText="1"/>
  </ignoredErrors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53023-5A1D-4FE4-9BCA-FBB391101EA4}">
  <sheetPr codeName="Sheet1"/>
  <dimension ref="A1:AO87"/>
  <sheetViews>
    <sheetView tabSelected="1" topLeftCell="E78" zoomScale="205" zoomScaleNormal="205" workbookViewId="0">
      <selection activeCell="AQ89" sqref="AQ89"/>
    </sheetView>
  </sheetViews>
  <sheetFormatPr defaultColWidth="2.7109375" defaultRowHeight="15" x14ac:dyDescent="0.25"/>
  <cols>
    <col min="4" max="4" width="2.85546875" customWidth="1"/>
    <col min="8" max="39" width="2.7109375" customWidth="1"/>
  </cols>
  <sheetData>
    <row r="1" spans="1:40" x14ac:dyDescent="0.25">
      <c r="A1" s="95" t="s">
        <v>247</v>
      </c>
      <c r="B1" s="96"/>
      <c r="C1" s="96"/>
      <c r="E1" s="95" t="s">
        <v>248</v>
      </c>
      <c r="F1" s="95"/>
      <c r="G1" s="95"/>
      <c r="I1" s="95" t="s">
        <v>249</v>
      </c>
      <c r="J1" s="95"/>
      <c r="K1" s="95"/>
      <c r="M1" s="95" t="s">
        <v>250</v>
      </c>
      <c r="N1" s="95"/>
      <c r="O1" s="95"/>
      <c r="Q1" s="95" t="s">
        <v>251</v>
      </c>
      <c r="R1" s="95"/>
      <c r="S1" s="95"/>
      <c r="U1" s="95" t="s">
        <v>252</v>
      </c>
      <c r="V1" s="95"/>
      <c r="W1" s="95"/>
    </row>
    <row r="3" spans="1:40" ht="15.75" thickBot="1" x14ac:dyDescent="0.3">
      <c r="O3" s="33"/>
      <c r="P3" s="33"/>
      <c r="Q3" s="33"/>
      <c r="R3" s="64" t="s">
        <v>253</v>
      </c>
      <c r="S3" s="33"/>
      <c r="T3" s="64" t="s">
        <v>254</v>
      </c>
      <c r="V3" s="32"/>
      <c r="W3" t="s">
        <v>255</v>
      </c>
      <c r="Y3" s="31"/>
      <c r="AB3" s="148" t="str">
        <f>BIN2HEX(AB4&amp;AC4&amp;AD4&amp;AE4,1)</f>
        <v>F</v>
      </c>
      <c r="AC3" s="149"/>
      <c r="AD3" s="149"/>
      <c r="AE3" s="149"/>
      <c r="AF3" s="150" t="str">
        <f>BIN2HEX(AF4&amp;AG4&amp;AH4&amp;AI4,1)</f>
        <v>F</v>
      </c>
      <c r="AG3" s="151"/>
      <c r="AH3" s="151"/>
      <c r="AI3" s="151"/>
      <c r="AJ3" s="150" t="str">
        <f>BIN2HEX(AJ4&amp;AK4&amp;AL4&amp;AM4,1)</f>
        <v>4</v>
      </c>
      <c r="AK3" s="151"/>
      <c r="AL3" s="151"/>
      <c r="AM3" s="152"/>
    </row>
    <row r="4" spans="1:40" ht="15.75" thickBot="1" x14ac:dyDescent="0.3">
      <c r="G4" t="s">
        <v>256</v>
      </c>
      <c r="O4" s="159" t="s">
        <v>156</v>
      </c>
      <c r="P4" s="160"/>
      <c r="Q4" s="161"/>
      <c r="R4" s="167" t="s">
        <v>76</v>
      </c>
      <c r="S4" s="169"/>
      <c r="T4" s="156" t="s">
        <v>36</v>
      </c>
      <c r="U4" s="157"/>
      <c r="V4" s="178" t="s">
        <v>257</v>
      </c>
      <c r="W4" s="179"/>
      <c r="X4" s="180"/>
      <c r="Y4" s="77" t="s">
        <v>258</v>
      </c>
      <c r="Z4" s="76"/>
      <c r="AB4" s="71" t="str" cm="1">
        <f t="array" ref="AB4:AM4">MID(MyHex2Bin(asm_imm,12),_xlfn.SEQUENCE(1,12),1)</f>
        <v>1</v>
      </c>
      <c r="AC4" s="143" t="str">
        <v>1</v>
      </c>
      <c r="AD4" s="144" t="str">
        <v>1</v>
      </c>
      <c r="AE4" s="144" t="str">
        <v>1</v>
      </c>
      <c r="AF4" s="145" t="str">
        <v>1</v>
      </c>
      <c r="AG4" s="145" t="str">
        <v>1</v>
      </c>
      <c r="AH4" s="145" t="str">
        <v>1</v>
      </c>
      <c r="AI4" s="145" t="str">
        <v>1</v>
      </c>
      <c r="AJ4" s="146" t="str">
        <v>0</v>
      </c>
      <c r="AK4" s="146" t="str">
        <v>1</v>
      </c>
      <c r="AL4" s="146" t="str">
        <v>0</v>
      </c>
      <c r="AM4" s="146" t="str">
        <v>0</v>
      </c>
    </row>
    <row r="5" spans="1:40" ht="20.25" thickBot="1" x14ac:dyDescent="0.35">
      <c r="D5" s="129" t="s">
        <v>29</v>
      </c>
      <c r="E5" s="1" t="s">
        <v>259</v>
      </c>
      <c r="H5" s="2" cm="1">
        <f t="array" ref="H5:AM5">_xlfn.SEQUENCE(1,32,31,-1)</f>
        <v>31</v>
      </c>
      <c r="I5" s="2">
        <v>30</v>
      </c>
      <c r="J5" s="2">
        <v>29</v>
      </c>
      <c r="K5" s="2">
        <v>28</v>
      </c>
      <c r="L5" s="2">
        <v>27</v>
      </c>
      <c r="M5" s="2">
        <v>26</v>
      </c>
      <c r="N5" s="2">
        <v>25</v>
      </c>
      <c r="O5" s="2">
        <v>24</v>
      </c>
      <c r="P5" s="2">
        <v>23</v>
      </c>
      <c r="Q5" s="2">
        <v>22</v>
      </c>
      <c r="R5" s="2">
        <v>21</v>
      </c>
      <c r="S5" s="2">
        <v>20</v>
      </c>
      <c r="T5" s="2">
        <v>19</v>
      </c>
      <c r="U5" s="2">
        <v>18</v>
      </c>
      <c r="V5" s="2">
        <v>17</v>
      </c>
      <c r="W5" s="2">
        <v>16</v>
      </c>
      <c r="X5" s="2">
        <v>15</v>
      </c>
      <c r="Y5" s="2">
        <v>14</v>
      </c>
      <c r="Z5" s="2">
        <v>13</v>
      </c>
      <c r="AA5" s="2">
        <v>12</v>
      </c>
      <c r="AB5" s="2">
        <v>11</v>
      </c>
      <c r="AC5" s="2">
        <v>10</v>
      </c>
      <c r="AD5" s="2">
        <v>9</v>
      </c>
      <c r="AE5" s="2">
        <v>8</v>
      </c>
      <c r="AF5" s="2">
        <v>7</v>
      </c>
      <c r="AG5" s="2">
        <v>6</v>
      </c>
      <c r="AH5" s="2">
        <v>5</v>
      </c>
      <c r="AI5" s="2">
        <v>4</v>
      </c>
      <c r="AJ5" s="2">
        <v>3</v>
      </c>
      <c r="AK5" s="2">
        <v>2</v>
      </c>
      <c r="AL5" s="2">
        <v>1</v>
      </c>
      <c r="AM5" s="2">
        <v>0</v>
      </c>
    </row>
    <row r="6" spans="1:40" ht="16.5" thickTop="1" thickBot="1" x14ac:dyDescent="0.3">
      <c r="C6" s="1"/>
      <c r="D6" s="1"/>
      <c r="E6" s="1"/>
      <c r="H6" s="173" t="s">
        <v>260</v>
      </c>
      <c r="I6" s="173"/>
      <c r="J6" s="173"/>
      <c r="K6" s="173"/>
      <c r="L6" s="173"/>
      <c r="M6" s="173"/>
      <c r="N6" s="173"/>
      <c r="O6" s="173"/>
      <c r="P6" s="173"/>
      <c r="Q6" s="173"/>
      <c r="R6" s="173"/>
      <c r="S6" s="173"/>
      <c r="T6" s="173" t="s">
        <v>254</v>
      </c>
      <c r="U6" s="173"/>
      <c r="V6" s="173"/>
      <c r="W6" s="173"/>
      <c r="X6" s="173"/>
      <c r="Y6" s="173" t="s">
        <v>261</v>
      </c>
      <c r="Z6" s="173"/>
      <c r="AA6" s="173"/>
      <c r="AB6" s="173" t="s">
        <v>253</v>
      </c>
      <c r="AC6" s="173"/>
      <c r="AD6" s="173"/>
      <c r="AE6" s="173"/>
      <c r="AF6" s="173"/>
      <c r="AG6" s="173" t="s">
        <v>52</v>
      </c>
      <c r="AH6" s="173"/>
      <c r="AI6" s="173"/>
      <c r="AJ6" s="173"/>
      <c r="AK6" s="173"/>
      <c r="AL6" s="173"/>
      <c r="AM6" s="173"/>
    </row>
    <row r="7" spans="1:40" ht="15.75" thickBot="1" x14ac:dyDescent="0.3">
      <c r="C7" s="1"/>
      <c r="D7" s="1"/>
      <c r="E7" s="1"/>
      <c r="G7" s="19" t="s">
        <v>262</v>
      </c>
      <c r="H7" s="175" t="str">
        <f>asm_imm</f>
        <v>0xFF4</v>
      </c>
      <c r="I7" s="176"/>
      <c r="J7" s="176"/>
      <c r="K7" s="176"/>
      <c r="L7" s="176"/>
      <c r="M7" s="176"/>
      <c r="N7" s="176"/>
      <c r="O7" s="176"/>
      <c r="P7" s="176"/>
      <c r="Q7" s="176"/>
      <c r="R7" s="176"/>
      <c r="S7" s="177"/>
      <c r="T7" s="156" t="str">
        <f>asm_src</f>
        <v>sp</v>
      </c>
      <c r="U7" s="157"/>
      <c r="V7" s="157"/>
      <c r="W7" s="157"/>
      <c r="X7" s="158"/>
      <c r="Y7" s="159" t="str">
        <f>asm_operator</f>
        <v>jalr</v>
      </c>
      <c r="Z7" s="160"/>
      <c r="AA7" s="161"/>
      <c r="AB7" s="167" t="str">
        <f>asm_des</f>
        <v>a0</v>
      </c>
      <c r="AC7" s="168"/>
      <c r="AD7" s="168"/>
      <c r="AE7" s="168"/>
      <c r="AF7" s="169"/>
      <c r="AG7" s="159" t="str">
        <f>asm_operator</f>
        <v>jalr</v>
      </c>
      <c r="AH7" s="160"/>
      <c r="AI7" s="160"/>
      <c r="AJ7" s="160"/>
      <c r="AK7" s="160"/>
      <c r="AL7" s="160"/>
      <c r="AM7" s="161"/>
    </row>
    <row r="8" spans="1:40" ht="15.75" thickBot="1" x14ac:dyDescent="0.3">
      <c r="C8" s="1"/>
      <c r="D8" s="1"/>
      <c r="E8" s="1"/>
      <c r="G8" s="19" t="s">
        <v>263</v>
      </c>
      <c r="H8" s="175" t="str">
        <f>H7</f>
        <v>0xFF4</v>
      </c>
      <c r="I8" s="176"/>
      <c r="J8" s="176"/>
      <c r="K8" s="176"/>
      <c r="L8" s="176"/>
      <c r="M8" s="176"/>
      <c r="N8" s="176"/>
      <c r="O8" s="176"/>
      <c r="P8" s="176"/>
      <c r="Q8" s="176"/>
      <c r="R8" s="176"/>
      <c r="S8" s="177"/>
      <c r="T8" s="156">
        <f>VLOOKUP(T7,TableRegisters[],2,FALSE)</f>
        <v>2</v>
      </c>
      <c r="U8" s="157"/>
      <c r="V8" s="157"/>
      <c r="W8" s="157"/>
      <c r="X8" s="158"/>
      <c r="Y8" s="159">
        <f>VLOOKUP(Y7,TableOpcodes[],COL_FUNCT3,FALSE)</f>
        <v>0</v>
      </c>
      <c r="Z8" s="160"/>
      <c r="AA8" s="161"/>
      <c r="AB8" s="167">
        <f>VLOOKUP(AB7,TableRegisters[],2,FALSE)</f>
        <v>10</v>
      </c>
      <c r="AC8" s="168"/>
      <c r="AD8" s="168"/>
      <c r="AE8" s="168"/>
      <c r="AF8" s="169"/>
      <c r="AG8" s="159">
        <f>VLOOKUP(AG7,TableOpcodes[],COL_OPCODE,FALSE)</f>
        <v>103</v>
      </c>
      <c r="AH8" s="160"/>
      <c r="AI8" s="160"/>
      <c r="AJ8" s="160"/>
      <c r="AK8" s="160"/>
      <c r="AL8" s="160"/>
      <c r="AM8" s="161"/>
    </row>
    <row r="9" spans="1:40" ht="15.75" thickBot="1" x14ac:dyDescent="0.3">
      <c r="G9" s="19" t="s">
        <v>264</v>
      </c>
      <c r="H9" s="70" t="str" cm="1">
        <f t="array" ref="H9:S9">MID(MyHex2Bin(asm_imm,12),_xlfn.SEQUENCE(1,12),1)</f>
        <v>1</v>
      </c>
      <c r="I9" s="34" t="str">
        <v>1</v>
      </c>
      <c r="J9" s="34" t="str">
        <v>1</v>
      </c>
      <c r="K9" s="34" t="str">
        <v>1</v>
      </c>
      <c r="L9" s="35" t="str">
        <v>1</v>
      </c>
      <c r="M9" s="35" t="str">
        <v>1</v>
      </c>
      <c r="N9" s="35" t="str">
        <v>1</v>
      </c>
      <c r="O9" s="35" t="str">
        <v>1</v>
      </c>
      <c r="P9" s="36" t="str">
        <v>0</v>
      </c>
      <c r="Q9" s="36" t="str">
        <v>1</v>
      </c>
      <c r="R9" s="36" t="str">
        <v>0</v>
      </c>
      <c r="S9" s="37" t="str">
        <v>0</v>
      </c>
      <c r="T9" s="44" t="str" cm="1">
        <f t="array" ref="T9:X9">MID(DEC2BIN(T8,5),_xlfn.SEQUENCE(1,5),1)</f>
        <v>0</v>
      </c>
      <c r="U9" s="45" t="str">
        <v>0</v>
      </c>
      <c r="V9" s="45" t="str">
        <v>0</v>
      </c>
      <c r="W9" s="45" t="str">
        <v>1</v>
      </c>
      <c r="X9" s="46" t="str">
        <v>0</v>
      </c>
      <c r="Y9" s="38" t="str" cm="1">
        <f t="array" ref="Y9:AA9">MID(DEC2BIN(Y8,3),_xlfn.SEQUENCE(1,3),1)</f>
        <v>0</v>
      </c>
      <c r="Z9" s="39" t="str">
        <v>0</v>
      </c>
      <c r="AA9" s="40" t="str">
        <v>0</v>
      </c>
      <c r="AB9" s="41" t="str" cm="1">
        <f t="array" ref="AB9:AF9">MID(DEC2BIN(AB8,5),_xlfn.SEQUENCE(1,5),1)</f>
        <v>0</v>
      </c>
      <c r="AC9" s="42" t="str">
        <v>1</v>
      </c>
      <c r="AD9" s="42" t="str">
        <v>0</v>
      </c>
      <c r="AE9" s="42" t="str">
        <v>1</v>
      </c>
      <c r="AF9" s="43" t="str">
        <v>0</v>
      </c>
      <c r="AG9" s="38" t="str" cm="1">
        <f t="array" ref="AG9:AM9">MID(DEC2BIN(AG8,7),_xlfn.SEQUENCE(1,7),1)</f>
        <v>1</v>
      </c>
      <c r="AH9" s="39" t="str">
        <v>1</v>
      </c>
      <c r="AI9" s="39" t="str">
        <v>0</v>
      </c>
      <c r="AJ9" s="39" t="str">
        <v>0</v>
      </c>
      <c r="AK9" s="39" t="str">
        <v>1</v>
      </c>
      <c r="AL9" s="39" t="str">
        <v>1</v>
      </c>
      <c r="AM9" s="40" t="str">
        <v>1</v>
      </c>
    </row>
    <row r="10" spans="1:40" ht="15.75" thickBot="1" x14ac:dyDescent="0.3">
      <c r="G10" s="19" t="s">
        <v>265</v>
      </c>
      <c r="H10" s="162" t="str">
        <f>BIN2HEX(H9&amp;I9&amp;J9&amp;K9,1)</f>
        <v>F</v>
      </c>
      <c r="I10" s="163"/>
      <c r="J10" s="163"/>
      <c r="K10" s="163"/>
      <c r="L10" s="162" t="str">
        <f>BIN2HEX(L9&amp;M9&amp;N9&amp;O9,1)</f>
        <v>F</v>
      </c>
      <c r="M10" s="163"/>
      <c r="N10" s="163"/>
      <c r="O10" s="163"/>
      <c r="P10" s="162" t="str">
        <f>BIN2HEX(P9&amp;Q9&amp;R9&amp;S9,1)</f>
        <v>4</v>
      </c>
      <c r="Q10" s="163"/>
      <c r="R10" s="163"/>
      <c r="S10" s="163"/>
      <c r="T10" s="162" t="str">
        <f>BIN2HEX(T9&amp;U9&amp;V9&amp;W9,1)</f>
        <v>1</v>
      </c>
      <c r="U10" s="163"/>
      <c r="V10" s="163"/>
      <c r="W10" s="163"/>
      <c r="X10" s="162" t="str">
        <f>BIN2HEX(X9&amp;Y9&amp;Z9&amp;AA9,1)</f>
        <v>0</v>
      </c>
      <c r="Y10" s="163"/>
      <c r="Z10" s="163"/>
      <c r="AA10" s="163"/>
      <c r="AB10" s="162" t="str">
        <f>BIN2HEX(AB9&amp;AC9&amp;AD9&amp;AE9,1)</f>
        <v>5</v>
      </c>
      <c r="AC10" s="163"/>
      <c r="AD10" s="163"/>
      <c r="AE10" s="163"/>
      <c r="AF10" s="162" t="str">
        <f>BIN2HEX(AF9&amp;AG9&amp;AH9&amp;AI9,1)</f>
        <v>6</v>
      </c>
      <c r="AG10" s="163"/>
      <c r="AH10" s="163"/>
      <c r="AI10" s="163"/>
      <c r="AJ10" s="162" t="str">
        <f>BIN2HEX(AJ9&amp;AK9&amp;AL9&amp;AM9,1)</f>
        <v>7</v>
      </c>
      <c r="AK10" s="163"/>
      <c r="AL10" s="163"/>
      <c r="AM10" s="163"/>
      <c r="AN10" s="31"/>
    </row>
    <row r="15" spans="1:40" ht="15.75" thickBot="1" x14ac:dyDescent="0.3">
      <c r="G15" s="80"/>
      <c r="O15" s="33"/>
      <c r="P15" s="33"/>
      <c r="Q15" s="33"/>
      <c r="R15" s="64" t="s">
        <v>253</v>
      </c>
      <c r="S15" s="33"/>
      <c r="T15" s="185" t="s">
        <v>266</v>
      </c>
      <c r="U15" s="186"/>
      <c r="V15" s="186"/>
      <c r="W15" s="186"/>
      <c r="X15" s="187"/>
      <c r="Y15" s="31"/>
      <c r="AD15" s="124"/>
      <c r="AE15" s="124"/>
      <c r="AF15" s="124"/>
      <c r="AG15" s="124"/>
      <c r="AH15" s="124"/>
      <c r="AI15" s="124"/>
      <c r="AJ15" s="124"/>
      <c r="AK15" s="124"/>
    </row>
    <row r="16" spans="1:40" ht="15.75" thickBot="1" x14ac:dyDescent="0.3">
      <c r="G16" t="s">
        <v>256</v>
      </c>
      <c r="O16" s="159" t="s">
        <v>175</v>
      </c>
      <c r="P16" s="160"/>
      <c r="Q16" s="161"/>
      <c r="R16" s="167" t="s">
        <v>72</v>
      </c>
      <c r="S16" s="169"/>
      <c r="T16" s="178" t="s">
        <v>267</v>
      </c>
      <c r="U16" s="179"/>
      <c r="V16" s="179"/>
      <c r="W16" s="179"/>
      <c r="X16" s="180"/>
      <c r="Y16" s="77" t="s">
        <v>258</v>
      </c>
      <c r="Z16" s="76"/>
      <c r="AB16" s="118" t="s">
        <v>253</v>
      </c>
      <c r="AC16" s="119" t="s">
        <v>268</v>
      </c>
      <c r="AD16" s="181" t="str">
        <f>R16</f>
        <v>s1</v>
      </c>
      <c r="AE16" s="181"/>
      <c r="AF16" s="119" t="s">
        <v>268</v>
      </c>
      <c r="AG16" s="184" t="str">
        <f>T16 &amp; "000"</f>
        <v>0xAFFFC000</v>
      </c>
      <c r="AH16" s="184"/>
      <c r="AI16" s="184"/>
      <c r="AJ16" s="184"/>
      <c r="AK16" s="184"/>
      <c r="AL16" s="119" t="str">
        <f>IF(O16="auipc","+ PC","")</f>
        <v/>
      </c>
      <c r="AM16" s="123"/>
    </row>
    <row r="17" spans="1:39" x14ac:dyDescent="0.25">
      <c r="G17" s="65"/>
      <c r="T17" s="141" t="str" cm="1">
        <f t="array" ref="T17:AM17">MID(MyHex2Bin(T16,20),_xlfn.SEQUENCE(1,20),1)</f>
        <v>1</v>
      </c>
      <c r="U17" s="127" t="str">
        <v>0</v>
      </c>
      <c r="V17" s="127" t="str">
        <v>1</v>
      </c>
      <c r="W17" s="127" t="str">
        <v>0</v>
      </c>
      <c r="X17" s="127" t="str">
        <v>1</v>
      </c>
      <c r="Y17" s="128" t="str">
        <v>1</v>
      </c>
      <c r="Z17" s="127" t="str">
        <v>1</v>
      </c>
      <c r="AA17" s="127" t="str">
        <v>1</v>
      </c>
      <c r="AB17" s="127" t="str">
        <v>1</v>
      </c>
      <c r="AC17" s="127" t="str">
        <v>1</v>
      </c>
      <c r="AD17" s="127" t="str">
        <v>1</v>
      </c>
      <c r="AE17" s="127" t="str">
        <v>1</v>
      </c>
      <c r="AF17" s="127" t="str">
        <v>1</v>
      </c>
      <c r="AG17" s="127" t="str">
        <v>1</v>
      </c>
      <c r="AH17" s="127" t="str">
        <v>1</v>
      </c>
      <c r="AI17" s="127" t="str">
        <v>1</v>
      </c>
      <c r="AJ17" s="127" t="str">
        <v>1</v>
      </c>
      <c r="AK17" s="127" t="str">
        <v>1</v>
      </c>
      <c r="AL17" s="127" t="str">
        <v>0</v>
      </c>
      <c r="AM17" s="127" t="str">
        <v>0</v>
      </c>
    </row>
    <row r="18" spans="1:39" ht="15.75" customHeight="1" thickBot="1" x14ac:dyDescent="0.35">
      <c r="D18" s="129" t="s">
        <v>101</v>
      </c>
      <c r="E18" s="1" t="s">
        <v>259</v>
      </c>
      <c r="H18" s="2" cm="1">
        <f t="array" ref="H18:AM18">_xlfn.SEQUENCE(1,32,31,-1)</f>
        <v>31</v>
      </c>
      <c r="I18" s="2">
        <v>30</v>
      </c>
      <c r="J18" s="2">
        <v>29</v>
      </c>
      <c r="K18" s="2">
        <v>28</v>
      </c>
      <c r="L18" s="2">
        <v>27</v>
      </c>
      <c r="M18" s="2">
        <v>26</v>
      </c>
      <c r="N18" s="2">
        <v>25</v>
      </c>
      <c r="O18" s="2">
        <v>24</v>
      </c>
      <c r="P18" s="2">
        <v>23</v>
      </c>
      <c r="Q18" s="2">
        <v>22</v>
      </c>
      <c r="R18" s="2">
        <v>21</v>
      </c>
      <c r="S18" s="2">
        <v>20</v>
      </c>
      <c r="T18" s="2">
        <v>19</v>
      </c>
      <c r="U18" s="2">
        <v>18</v>
      </c>
      <c r="V18" s="2">
        <v>17</v>
      </c>
      <c r="W18" s="2">
        <v>16</v>
      </c>
      <c r="X18" s="2">
        <v>15</v>
      </c>
      <c r="Y18" s="2">
        <v>14</v>
      </c>
      <c r="Z18" s="2">
        <v>13</v>
      </c>
      <c r="AA18" s="2">
        <v>12</v>
      </c>
      <c r="AB18" s="2">
        <v>11</v>
      </c>
      <c r="AC18" s="2">
        <v>10</v>
      </c>
      <c r="AD18" s="2">
        <v>9</v>
      </c>
      <c r="AE18" s="2">
        <v>8</v>
      </c>
      <c r="AF18" s="2">
        <v>7</v>
      </c>
      <c r="AG18" s="2">
        <v>6</v>
      </c>
      <c r="AH18" s="2">
        <v>5</v>
      </c>
      <c r="AI18" s="2">
        <v>4</v>
      </c>
      <c r="AJ18" s="2">
        <v>3</v>
      </c>
      <c r="AK18" s="2">
        <v>2</v>
      </c>
      <c r="AL18" s="2">
        <v>1</v>
      </c>
      <c r="AM18" s="2">
        <v>0</v>
      </c>
    </row>
    <row r="19" spans="1:39" ht="16.5" thickTop="1" thickBot="1" x14ac:dyDescent="0.3">
      <c r="C19" s="1"/>
      <c r="D19" s="1"/>
      <c r="E19" s="1"/>
      <c r="H19" s="173" t="s">
        <v>269</v>
      </c>
      <c r="I19" s="173"/>
      <c r="J19" s="173"/>
      <c r="K19" s="173"/>
      <c r="L19" s="173"/>
      <c r="M19" s="173"/>
      <c r="N19" s="173"/>
      <c r="O19" s="173"/>
      <c r="P19" s="173"/>
      <c r="Q19" s="173"/>
      <c r="R19" s="173"/>
      <c r="S19" s="173"/>
      <c r="T19" s="173"/>
      <c r="U19" s="173"/>
      <c r="V19" s="173"/>
      <c r="W19" s="173"/>
      <c r="X19" s="173"/>
      <c r="Y19" s="173"/>
      <c r="Z19" s="173"/>
      <c r="AA19" s="173"/>
      <c r="AB19" s="173" t="s">
        <v>253</v>
      </c>
      <c r="AC19" s="173"/>
      <c r="AD19" s="173"/>
      <c r="AE19" s="173"/>
      <c r="AF19" s="173"/>
      <c r="AG19" s="173" t="s">
        <v>52</v>
      </c>
      <c r="AH19" s="173"/>
      <c r="AI19" s="173"/>
      <c r="AJ19" s="173"/>
      <c r="AK19" s="173"/>
      <c r="AL19" s="173"/>
      <c r="AM19" s="173"/>
    </row>
    <row r="20" spans="1:39" ht="15.75" thickBot="1" x14ac:dyDescent="0.3">
      <c r="C20" s="1"/>
      <c r="D20" s="1"/>
      <c r="E20" s="1"/>
      <c r="G20" s="19" t="s">
        <v>262</v>
      </c>
      <c r="H20" s="175" t="str">
        <f>T16</f>
        <v>0xAFFFC</v>
      </c>
      <c r="I20" s="176"/>
      <c r="J20" s="176"/>
      <c r="K20" s="176"/>
      <c r="L20" s="176"/>
      <c r="M20" s="176"/>
      <c r="N20" s="176"/>
      <c r="O20" s="176"/>
      <c r="P20" s="176"/>
      <c r="Q20" s="176"/>
      <c r="R20" s="176"/>
      <c r="S20" s="176"/>
      <c r="T20" s="176"/>
      <c r="U20" s="176"/>
      <c r="V20" s="176"/>
      <c r="W20" s="176"/>
      <c r="X20" s="176"/>
      <c r="Y20" s="176"/>
      <c r="Z20" s="176"/>
      <c r="AA20" s="177"/>
      <c r="AB20" s="167" t="str">
        <f>R16</f>
        <v>s1</v>
      </c>
      <c r="AC20" s="168"/>
      <c r="AD20" s="168"/>
      <c r="AE20" s="168"/>
      <c r="AF20" s="169"/>
      <c r="AG20" s="159" t="str">
        <f>O16</f>
        <v>lui</v>
      </c>
      <c r="AH20" s="160"/>
      <c r="AI20" s="160"/>
      <c r="AJ20" s="160"/>
      <c r="AK20" s="160"/>
      <c r="AL20" s="160"/>
      <c r="AM20" s="161"/>
    </row>
    <row r="21" spans="1:39" ht="15.75" thickBot="1" x14ac:dyDescent="0.3">
      <c r="C21" s="1"/>
      <c r="D21" s="1"/>
      <c r="E21" s="1"/>
      <c r="G21" s="19" t="s">
        <v>263</v>
      </c>
      <c r="H21" s="107"/>
      <c r="I21" s="103"/>
      <c r="J21" s="108"/>
      <c r="K21" s="108"/>
      <c r="L21" s="108"/>
      <c r="M21" s="108"/>
      <c r="N21" s="108"/>
      <c r="O21" s="108"/>
      <c r="P21" s="108"/>
      <c r="Q21" s="108"/>
      <c r="R21" s="108"/>
      <c r="S21" s="103"/>
      <c r="T21" s="103"/>
      <c r="U21" s="108"/>
      <c r="V21" s="108"/>
      <c r="W21" s="108"/>
      <c r="X21" s="108"/>
      <c r="Y21" s="108"/>
      <c r="Z21" s="108"/>
      <c r="AA21" s="109"/>
      <c r="AB21" s="167">
        <f>VLOOKUP(AB20,TableRegisters[],2,FALSE)</f>
        <v>9</v>
      </c>
      <c r="AC21" s="168"/>
      <c r="AD21" s="168"/>
      <c r="AE21" s="168"/>
      <c r="AF21" s="169"/>
      <c r="AG21" s="159">
        <f>VLOOKUP(AG20,TableOpcodes[],COL_OPCODE,FALSE)</f>
        <v>55</v>
      </c>
      <c r="AH21" s="160"/>
      <c r="AI21" s="160"/>
      <c r="AJ21" s="160"/>
      <c r="AK21" s="160"/>
      <c r="AL21" s="160"/>
      <c r="AM21" s="161"/>
    </row>
    <row r="22" spans="1:39" ht="15.75" thickBot="1" x14ac:dyDescent="0.3">
      <c r="G22" s="19" t="s">
        <v>264</v>
      </c>
      <c r="H22" s="142" t="str">
        <f>T17</f>
        <v>1</v>
      </c>
      <c r="I22" s="125" t="str">
        <f>U17</f>
        <v>0</v>
      </c>
      <c r="J22" s="125" t="str">
        <f t="shared" ref="J22:Z22" si="0">V17</f>
        <v>1</v>
      </c>
      <c r="K22" s="125" t="str">
        <f t="shared" si="0"/>
        <v>0</v>
      </c>
      <c r="L22" s="125" t="str">
        <f t="shared" si="0"/>
        <v>1</v>
      </c>
      <c r="M22" s="125" t="str">
        <f t="shared" si="0"/>
        <v>1</v>
      </c>
      <c r="N22" s="125" t="str">
        <f t="shared" si="0"/>
        <v>1</v>
      </c>
      <c r="O22" s="125" t="str">
        <f t="shared" si="0"/>
        <v>1</v>
      </c>
      <c r="P22" s="125" t="str">
        <f t="shared" si="0"/>
        <v>1</v>
      </c>
      <c r="Q22" s="125" t="str">
        <f t="shared" si="0"/>
        <v>1</v>
      </c>
      <c r="R22" s="125" t="str">
        <f t="shared" si="0"/>
        <v>1</v>
      </c>
      <c r="S22" s="125" t="str">
        <f t="shared" si="0"/>
        <v>1</v>
      </c>
      <c r="T22" s="125" t="str">
        <f t="shared" si="0"/>
        <v>1</v>
      </c>
      <c r="U22" s="125" t="str">
        <f t="shared" si="0"/>
        <v>1</v>
      </c>
      <c r="V22" s="125" t="str">
        <f t="shared" si="0"/>
        <v>1</v>
      </c>
      <c r="W22" s="125" t="str">
        <f t="shared" si="0"/>
        <v>1</v>
      </c>
      <c r="X22" s="125" t="str">
        <f t="shared" si="0"/>
        <v>1</v>
      </c>
      <c r="Y22" s="125" t="str">
        <f t="shared" si="0"/>
        <v>1</v>
      </c>
      <c r="Z22" s="125" t="str">
        <f t="shared" si="0"/>
        <v>0</v>
      </c>
      <c r="AA22" s="126" t="str">
        <f>AM17</f>
        <v>0</v>
      </c>
      <c r="AB22" s="100" t="str" cm="1">
        <f t="array" ref="AB22:AF22">MID(DEC2BIN(AB21,5),_xlfn.SEQUENCE(1,5),1)</f>
        <v>0</v>
      </c>
      <c r="AC22" s="100" t="str">
        <v>1</v>
      </c>
      <c r="AD22" s="100" t="str">
        <v>0</v>
      </c>
      <c r="AE22" s="100" t="str">
        <v>0</v>
      </c>
      <c r="AF22" s="101" t="str">
        <v>1</v>
      </c>
      <c r="AG22" s="38" t="str" cm="1">
        <f t="array" ref="AG22:AM22">MID(DEC2BIN(AG21,7),_xlfn.SEQUENCE(1,7),1)</f>
        <v>0</v>
      </c>
      <c r="AH22" s="39" t="str">
        <v>1</v>
      </c>
      <c r="AI22" s="39" t="str">
        <v>1</v>
      </c>
      <c r="AJ22" s="121" t="str">
        <v>0</v>
      </c>
      <c r="AK22" s="121" t="str">
        <v>1</v>
      </c>
      <c r="AL22" s="121" t="str">
        <v>1</v>
      </c>
      <c r="AM22" s="122" t="str">
        <v>1</v>
      </c>
    </row>
    <row r="23" spans="1:39" ht="15.75" thickBot="1" x14ac:dyDescent="0.3">
      <c r="G23" s="19" t="s">
        <v>265</v>
      </c>
      <c r="H23" s="162" t="str">
        <f>BIN2HEX(H22&amp;I22&amp;J22&amp;K22,1)</f>
        <v>A</v>
      </c>
      <c r="I23" s="163"/>
      <c r="J23" s="163"/>
      <c r="K23" s="163"/>
      <c r="L23" s="162" t="str">
        <f>BIN2HEX(L22&amp;M22&amp;N22&amp;O22,1)</f>
        <v>F</v>
      </c>
      <c r="M23" s="163"/>
      <c r="N23" s="163"/>
      <c r="O23" s="163"/>
      <c r="P23" s="162" t="str">
        <f>BIN2HEX(P22&amp;Q22&amp;R22&amp;S22,1)</f>
        <v>F</v>
      </c>
      <c r="Q23" s="163"/>
      <c r="R23" s="163"/>
      <c r="S23" s="163"/>
      <c r="T23" s="162" t="str">
        <f>BIN2HEX(T22&amp;U22&amp;V22&amp;W22,1)</f>
        <v>F</v>
      </c>
      <c r="U23" s="163"/>
      <c r="V23" s="163"/>
      <c r="W23" s="163"/>
      <c r="X23" s="162" t="str">
        <f>BIN2HEX(X22&amp;Y22&amp;Z22&amp;AA22,1)</f>
        <v>C</v>
      </c>
      <c r="Y23" s="163"/>
      <c r="Z23" s="163"/>
      <c r="AA23" s="163"/>
      <c r="AB23" s="162" t="str">
        <f>BIN2HEX(AB22&amp;AC22&amp;AD22&amp;AE22,1)</f>
        <v>4</v>
      </c>
      <c r="AC23" s="163"/>
      <c r="AD23" s="163"/>
      <c r="AE23" s="163"/>
      <c r="AF23" s="162" t="str">
        <f>BIN2HEX(AF22&amp;AG22&amp;AH22&amp;AI22,1)</f>
        <v>B</v>
      </c>
      <c r="AG23" s="163"/>
      <c r="AH23" s="163"/>
      <c r="AI23" s="163"/>
      <c r="AJ23" s="164" t="str">
        <f>BIN2HEX(AJ22&amp;AK22&amp;AL22&amp;AM22,1)</f>
        <v>7</v>
      </c>
      <c r="AK23" s="165"/>
      <c r="AL23" s="165"/>
      <c r="AM23" s="166"/>
    </row>
    <row r="29" spans="1:39" ht="15.75" thickBot="1" x14ac:dyDescent="0.3">
      <c r="L29" s="151"/>
      <c r="M29" s="151"/>
      <c r="N29" s="151"/>
      <c r="O29" s="151"/>
      <c r="P29" s="151"/>
    </row>
    <row r="30" spans="1:39" ht="16.5" thickTop="1" x14ac:dyDescent="0.3">
      <c r="A30" s="86" t="s">
        <v>270</v>
      </c>
      <c r="B30" s="87" t="s">
        <v>268</v>
      </c>
      <c r="C30" s="193" t="s">
        <v>271</v>
      </c>
      <c r="D30" s="193"/>
      <c r="E30" s="193"/>
      <c r="F30" s="194"/>
      <c r="G30" s="3" t="s">
        <v>268</v>
      </c>
      <c r="H30" s="78" t="str" cm="1">
        <f t="array" ref="H30:AM30">MID(MyHex2Bin(C30,32),_xlfn.SEQUENCE(1,32),1)</f>
        <v>0</v>
      </c>
      <c r="I30" s="78" t="str">
        <v>0</v>
      </c>
      <c r="J30" s="78" t="str">
        <v>0</v>
      </c>
      <c r="K30" s="78" t="str">
        <v>0</v>
      </c>
      <c r="L30" s="78" t="str">
        <v>0</v>
      </c>
      <c r="M30" s="78" t="str">
        <v>0</v>
      </c>
      <c r="N30" s="78" t="str">
        <v>0</v>
      </c>
      <c r="O30" s="78" t="str">
        <v>0</v>
      </c>
      <c r="P30" s="78" t="str">
        <v>0</v>
      </c>
      <c r="Q30" s="78" t="str">
        <v>1</v>
      </c>
      <c r="R30" s="78" t="str">
        <v>0</v>
      </c>
      <c r="S30" s="78" t="str">
        <v>1</v>
      </c>
      <c r="T30" s="78" t="str">
        <v>0</v>
      </c>
      <c r="U30" s="78" t="str">
        <v>0</v>
      </c>
      <c r="V30" s="78" t="str">
        <v>0</v>
      </c>
      <c r="W30" s="78" t="str">
        <v>0</v>
      </c>
      <c r="X30" s="78" t="str">
        <v>0</v>
      </c>
      <c r="Y30" s="78" t="str">
        <v>0</v>
      </c>
      <c r="Z30" s="78" t="str">
        <v>0</v>
      </c>
      <c r="AA30" s="78" t="str">
        <v>0</v>
      </c>
      <c r="AB30" s="78" t="str">
        <v>0</v>
      </c>
      <c r="AC30" s="78" t="str">
        <v>0</v>
      </c>
      <c r="AD30" s="78" t="str">
        <v>0</v>
      </c>
      <c r="AE30" s="78" t="str">
        <v>0</v>
      </c>
      <c r="AF30" s="78" t="str">
        <v>0</v>
      </c>
      <c r="AG30" s="78" t="str">
        <v>0</v>
      </c>
      <c r="AH30" s="78" t="str">
        <v>0</v>
      </c>
      <c r="AI30" s="78" t="str">
        <v>0</v>
      </c>
      <c r="AJ30" s="78" t="str">
        <v>0</v>
      </c>
      <c r="AK30" s="78" t="str">
        <v>0</v>
      </c>
      <c r="AL30" s="78" t="str">
        <v>0</v>
      </c>
      <c r="AM30" s="82" t="str">
        <v>0</v>
      </c>
    </row>
    <row r="31" spans="1:39" ht="15.75" thickBot="1" x14ac:dyDescent="0.3">
      <c r="A31" s="88"/>
      <c r="B31" s="89" t="s">
        <v>272</v>
      </c>
      <c r="C31" s="191" cm="1">
        <f t="array" ref="C31">MyBin2Dec(_xlfn.ANCHORARRAY(H30),FALSE)</f>
        <v>5242880</v>
      </c>
      <c r="D31" s="191"/>
      <c r="E31" s="191"/>
      <c r="F31" s="192"/>
      <c r="G31" s="80" t="s">
        <v>273</v>
      </c>
      <c r="O31" s="33"/>
      <c r="P31" s="33"/>
      <c r="Q31" s="33"/>
      <c r="R31" s="64" t="s">
        <v>253</v>
      </c>
      <c r="S31" s="33"/>
      <c r="T31" s="185" t="s">
        <v>274</v>
      </c>
      <c r="U31" s="186"/>
      <c r="V31" s="186"/>
      <c r="W31" s="186"/>
      <c r="X31" s="187"/>
      <c r="Y31" s="31"/>
      <c r="Z31" s="85"/>
    </row>
    <row r="32" spans="1:39" ht="15.75" thickBot="1" x14ac:dyDescent="0.3">
      <c r="A32" s="88"/>
      <c r="B32" s="90" t="s">
        <v>275</v>
      </c>
      <c r="C32" s="91" t="s">
        <v>272</v>
      </c>
      <c r="D32" s="197" cm="1">
        <f t="array" ref="D32">MyBin2Dec(S33:AL33) *2</f>
        <v>-1048564</v>
      </c>
      <c r="E32" s="197"/>
      <c r="F32" s="198"/>
      <c r="G32" t="s">
        <v>256</v>
      </c>
      <c r="O32" s="159" t="s">
        <v>149</v>
      </c>
      <c r="P32" s="160"/>
      <c r="Q32" s="161"/>
      <c r="R32" s="167" t="s">
        <v>47</v>
      </c>
      <c r="S32" s="169"/>
      <c r="T32" s="188" t="s">
        <v>276</v>
      </c>
      <c r="U32" s="189"/>
      <c r="V32" s="189"/>
      <c r="W32" s="189"/>
      <c r="X32" s="190"/>
      <c r="Y32" s="77" t="s">
        <v>258</v>
      </c>
      <c r="Z32" s="76"/>
      <c r="AB32" s="118" t="s">
        <v>253</v>
      </c>
      <c r="AC32" s="119" t="s">
        <v>268</v>
      </c>
      <c r="AD32" s="181" t="str">
        <f>R32</f>
        <v>tp</v>
      </c>
      <c r="AE32" s="181"/>
      <c r="AF32" s="119" t="s">
        <v>268</v>
      </c>
      <c r="AG32" s="119" t="s">
        <v>277</v>
      </c>
      <c r="AH32" s="119"/>
      <c r="AI32" s="119" t="s">
        <v>268</v>
      </c>
      <c r="AJ32" s="182" t="str">
        <f>"0x" &amp; DEC2HEX(C31+4,8)</f>
        <v>0x00500004</v>
      </c>
      <c r="AK32" s="182"/>
      <c r="AL32" s="182"/>
      <c r="AM32" s="183"/>
    </row>
    <row r="33" spans="1:40" ht="15.75" thickTop="1" x14ac:dyDescent="0.25">
      <c r="A33" s="88"/>
      <c r="B33" s="89" t="s">
        <v>272</v>
      </c>
      <c r="C33" s="191">
        <f>C31 + D32</f>
        <v>4194316</v>
      </c>
      <c r="D33" s="191"/>
      <c r="E33" s="191"/>
      <c r="F33" s="192"/>
      <c r="G33" s="65" t="s">
        <v>273</v>
      </c>
      <c r="S33" s="71" t="str" cm="1">
        <f t="array" ref="S33:AM33">MID(MyHex2Bin(T32,21),_xlfn.SEQUENCE(1,21),1)</f>
        <v>1</v>
      </c>
      <c r="T33" s="116" t="str">
        <v>0</v>
      </c>
      <c r="U33" s="116" t="str">
        <v>0</v>
      </c>
      <c r="V33" s="116" t="str">
        <v>0</v>
      </c>
      <c r="W33" s="116" t="str">
        <v>0</v>
      </c>
      <c r="X33" s="116" t="str">
        <v>0</v>
      </c>
      <c r="Y33" s="117" t="str">
        <v>0</v>
      </c>
      <c r="Z33" s="116" t="str">
        <v>0</v>
      </c>
      <c r="AA33" s="116" t="str">
        <v>0</v>
      </c>
      <c r="AB33" s="66" t="str">
        <v>0</v>
      </c>
      <c r="AC33" s="67" t="str">
        <v>0</v>
      </c>
      <c r="AD33" s="67" t="str">
        <v>0</v>
      </c>
      <c r="AE33" s="67" t="str">
        <v>0</v>
      </c>
      <c r="AF33" s="67" t="str">
        <v>0</v>
      </c>
      <c r="AG33" s="67" t="str">
        <v>0</v>
      </c>
      <c r="AH33" s="67" t="str">
        <v>0</v>
      </c>
      <c r="AI33" s="67" t="str">
        <v>0</v>
      </c>
      <c r="AJ33" s="67" t="str">
        <v>1</v>
      </c>
      <c r="AK33" s="67" t="str">
        <v>1</v>
      </c>
      <c r="AL33" s="67" t="str">
        <v>0</v>
      </c>
      <c r="AM33" s="120" t="str">
        <v>0</v>
      </c>
    </row>
    <row r="34" spans="1:40" ht="18.75" thickBot="1" x14ac:dyDescent="0.4">
      <c r="A34" s="92" t="s">
        <v>270</v>
      </c>
      <c r="B34" s="93" t="str">
        <f>O32</f>
        <v>jal</v>
      </c>
      <c r="C34" s="195" t="str">
        <f>"0x"&amp;DEC2HEX(C33,8)</f>
        <v>0x0040000C</v>
      </c>
      <c r="D34" s="195"/>
      <c r="E34" s="195"/>
      <c r="F34" s="196"/>
      <c r="G34" s="3" t="s">
        <v>268</v>
      </c>
      <c r="H34" s="74" t="str" cm="1">
        <f t="array" ref="H34:AM34">MID(MyHex2Bin(C34,32),_xlfn.SEQUENCE(1,32),1)</f>
        <v>0</v>
      </c>
      <c r="I34" s="74" t="str">
        <v>0</v>
      </c>
      <c r="J34" s="74" t="str">
        <v>0</v>
      </c>
      <c r="K34" s="74" t="str">
        <v>0</v>
      </c>
      <c r="L34" s="74" t="str">
        <v>0</v>
      </c>
      <c r="M34" s="74" t="str">
        <v>0</v>
      </c>
      <c r="N34" s="74" t="str">
        <v>0</v>
      </c>
      <c r="O34" s="74" t="str">
        <v>0</v>
      </c>
      <c r="P34" s="74" t="str">
        <v>0</v>
      </c>
      <c r="Q34" s="74" t="str">
        <v>1</v>
      </c>
      <c r="R34" s="74" t="str">
        <v>0</v>
      </c>
      <c r="S34" s="74" t="str">
        <v>0</v>
      </c>
      <c r="T34" s="74" t="str">
        <v>0</v>
      </c>
      <c r="U34" s="74" t="str">
        <v>0</v>
      </c>
      <c r="V34" s="74" t="str">
        <v>0</v>
      </c>
      <c r="W34" s="74" t="str">
        <v>0</v>
      </c>
      <c r="X34" s="74" t="str">
        <v>0</v>
      </c>
      <c r="Y34" s="74" t="str">
        <v>0</v>
      </c>
      <c r="Z34" s="74" t="str">
        <v>0</v>
      </c>
      <c r="AA34" s="74" t="str">
        <v>0</v>
      </c>
      <c r="AB34" s="74" t="str">
        <v>0</v>
      </c>
      <c r="AC34" s="74" t="str">
        <v>0</v>
      </c>
      <c r="AD34" s="74" t="str">
        <v>0</v>
      </c>
      <c r="AE34" s="74" t="str">
        <v>0</v>
      </c>
      <c r="AF34" s="74" t="str">
        <v>0</v>
      </c>
      <c r="AG34" s="74" t="str">
        <v>0</v>
      </c>
      <c r="AH34" s="74" t="str">
        <v>0</v>
      </c>
      <c r="AI34" s="74" t="str">
        <v>0</v>
      </c>
      <c r="AJ34" s="75" t="str">
        <v>1</v>
      </c>
      <c r="AK34" s="75" t="str">
        <v>1</v>
      </c>
      <c r="AL34" s="75" t="str">
        <v>0</v>
      </c>
      <c r="AM34" s="83" t="str">
        <v>0</v>
      </c>
    </row>
    <row r="35" spans="1:40" ht="15.75" customHeight="1" thickTop="1" thickBot="1" x14ac:dyDescent="0.35">
      <c r="D35" s="129" t="s">
        <v>206</v>
      </c>
      <c r="E35" s="1" t="s">
        <v>259</v>
      </c>
      <c r="H35" s="2" cm="1">
        <f t="array" ref="H35:AM35">_xlfn.SEQUENCE(1,32,31,-1)</f>
        <v>31</v>
      </c>
      <c r="I35" s="2">
        <v>30</v>
      </c>
      <c r="J35" s="2">
        <v>29</v>
      </c>
      <c r="K35" s="2">
        <v>28</v>
      </c>
      <c r="L35" s="2">
        <v>27</v>
      </c>
      <c r="M35" s="2">
        <v>26</v>
      </c>
      <c r="N35" s="2">
        <v>25</v>
      </c>
      <c r="O35" s="2">
        <v>24</v>
      </c>
      <c r="P35" s="2">
        <v>23</v>
      </c>
      <c r="Q35" s="2">
        <v>22</v>
      </c>
      <c r="R35" s="2">
        <v>21</v>
      </c>
      <c r="S35" s="2">
        <v>20</v>
      </c>
      <c r="T35" s="2">
        <v>19</v>
      </c>
      <c r="U35" s="2">
        <v>18</v>
      </c>
      <c r="V35" s="2">
        <v>17</v>
      </c>
      <c r="W35" s="2">
        <v>16</v>
      </c>
      <c r="X35" s="2">
        <v>15</v>
      </c>
      <c r="Y35" s="2">
        <v>14</v>
      </c>
      <c r="Z35" s="2">
        <v>13</v>
      </c>
      <c r="AA35" s="2">
        <v>12</v>
      </c>
      <c r="AB35" s="2">
        <v>11</v>
      </c>
      <c r="AC35" s="2">
        <v>10</v>
      </c>
      <c r="AD35" s="2">
        <v>9</v>
      </c>
      <c r="AE35" s="2">
        <v>8</v>
      </c>
      <c r="AF35" s="2">
        <v>7</v>
      </c>
      <c r="AG35" s="2">
        <v>6</v>
      </c>
      <c r="AH35" s="2">
        <v>5</v>
      </c>
      <c r="AI35" s="2">
        <v>4</v>
      </c>
      <c r="AJ35" s="2">
        <v>3</v>
      </c>
      <c r="AK35" s="2">
        <v>2</v>
      </c>
      <c r="AL35" s="2">
        <v>1</v>
      </c>
      <c r="AM35" s="2">
        <v>0</v>
      </c>
    </row>
    <row r="36" spans="1:40" ht="16.5" thickTop="1" thickBot="1" x14ac:dyDescent="0.3">
      <c r="C36" s="1"/>
      <c r="D36" s="1"/>
      <c r="E36" s="1"/>
      <c r="H36" s="173" t="s">
        <v>278</v>
      </c>
      <c r="I36" s="173"/>
      <c r="J36" s="173"/>
      <c r="K36" s="173"/>
      <c r="L36" s="173"/>
      <c r="M36" s="173"/>
      <c r="N36" s="173"/>
      <c r="O36" s="173"/>
      <c r="P36" s="173"/>
      <c r="Q36" s="173"/>
      <c r="R36" s="173"/>
      <c r="S36" s="173"/>
      <c r="T36" s="173"/>
      <c r="U36" s="173"/>
      <c r="V36" s="173"/>
      <c r="W36" s="173"/>
      <c r="X36" s="173"/>
      <c r="Y36" s="173"/>
      <c r="Z36" s="173"/>
      <c r="AA36" s="173"/>
      <c r="AB36" s="173" t="s">
        <v>253</v>
      </c>
      <c r="AC36" s="173"/>
      <c r="AD36" s="173"/>
      <c r="AE36" s="173"/>
      <c r="AF36" s="173"/>
      <c r="AG36" s="173" t="s">
        <v>52</v>
      </c>
      <c r="AH36" s="173"/>
      <c r="AI36" s="173"/>
      <c r="AJ36" s="173"/>
      <c r="AK36" s="173"/>
      <c r="AL36" s="173"/>
      <c r="AM36" s="173"/>
    </row>
    <row r="37" spans="1:40" ht="15.75" thickBot="1" x14ac:dyDescent="0.3">
      <c r="C37" s="1"/>
      <c r="D37" s="1"/>
      <c r="E37" s="1"/>
      <c r="G37" s="19" t="s">
        <v>262</v>
      </c>
      <c r="H37" s="175" t="str">
        <f>T32 &amp; " [20,10:1,11,19:12]"</f>
        <v>0x10000C [20,10:1,11,19:12]</v>
      </c>
      <c r="I37" s="176"/>
      <c r="J37" s="176"/>
      <c r="K37" s="176"/>
      <c r="L37" s="176"/>
      <c r="M37" s="176"/>
      <c r="N37" s="176"/>
      <c r="O37" s="176"/>
      <c r="P37" s="176"/>
      <c r="Q37" s="176"/>
      <c r="R37" s="176"/>
      <c r="S37" s="176"/>
      <c r="T37" s="176"/>
      <c r="U37" s="176"/>
      <c r="V37" s="176"/>
      <c r="W37" s="176"/>
      <c r="X37" s="176"/>
      <c r="Y37" s="176"/>
      <c r="Z37" s="176"/>
      <c r="AA37" s="177"/>
      <c r="AB37" s="167" t="str">
        <f>R32</f>
        <v>tp</v>
      </c>
      <c r="AC37" s="168"/>
      <c r="AD37" s="168"/>
      <c r="AE37" s="168"/>
      <c r="AF37" s="169"/>
      <c r="AG37" s="159" t="str">
        <f>O32</f>
        <v>jal</v>
      </c>
      <c r="AH37" s="160"/>
      <c r="AI37" s="160"/>
      <c r="AJ37" s="160"/>
      <c r="AK37" s="160"/>
      <c r="AL37" s="160"/>
      <c r="AM37" s="161"/>
    </row>
    <row r="38" spans="1:40" ht="15.75" thickBot="1" x14ac:dyDescent="0.3">
      <c r="C38" s="1"/>
      <c r="D38" s="1"/>
      <c r="E38" s="1"/>
      <c r="G38" s="19" t="s">
        <v>263</v>
      </c>
      <c r="H38" s="107"/>
      <c r="I38" s="110"/>
      <c r="J38" s="108"/>
      <c r="K38" s="108"/>
      <c r="L38" s="108"/>
      <c r="M38" s="108"/>
      <c r="N38" s="108"/>
      <c r="O38" s="108"/>
      <c r="P38" s="108"/>
      <c r="Q38" s="108"/>
      <c r="R38" s="108"/>
      <c r="S38" s="110"/>
      <c r="T38" s="110"/>
      <c r="U38" s="108"/>
      <c r="V38" s="108"/>
      <c r="W38" s="108"/>
      <c r="X38" s="108"/>
      <c r="Y38" s="108"/>
      <c r="Z38" s="108"/>
      <c r="AA38" s="109"/>
      <c r="AB38" s="167">
        <f>VLOOKUP(AB37,TableRegisters[],2,FALSE)</f>
        <v>4</v>
      </c>
      <c r="AC38" s="168"/>
      <c r="AD38" s="168"/>
      <c r="AE38" s="168"/>
      <c r="AF38" s="169"/>
      <c r="AG38" s="159">
        <f>VLOOKUP(AG37,TableOpcodes[],COL_OPCODE,FALSE)</f>
        <v>111</v>
      </c>
      <c r="AH38" s="160"/>
      <c r="AI38" s="160"/>
      <c r="AJ38" s="160"/>
      <c r="AK38" s="160"/>
      <c r="AL38" s="160"/>
      <c r="AM38" s="161"/>
    </row>
    <row r="39" spans="1:40" ht="15.75" thickBot="1" x14ac:dyDescent="0.3">
      <c r="G39" s="19" t="s">
        <v>264</v>
      </c>
      <c r="H39" s="70" t="str">
        <f>S33</f>
        <v>1</v>
      </c>
      <c r="I39" s="112" t="str">
        <f>AC33</f>
        <v>0</v>
      </c>
      <c r="J39" s="68" t="str">
        <f>AD33</f>
        <v>0</v>
      </c>
      <c r="K39" s="68" t="str">
        <f t="shared" ref="K39:O39" si="1">AE33</f>
        <v>0</v>
      </c>
      <c r="L39" s="68" t="str">
        <f t="shared" si="1"/>
        <v>0</v>
      </c>
      <c r="M39" s="68" t="str">
        <f t="shared" si="1"/>
        <v>0</v>
      </c>
      <c r="N39" s="68" t="str">
        <f t="shared" si="1"/>
        <v>0</v>
      </c>
      <c r="O39" s="68" t="str">
        <f t="shared" si="1"/>
        <v>0</v>
      </c>
      <c r="P39" s="68" t="str">
        <f t="shared" ref="P39" si="2">AJ33</f>
        <v>1</v>
      </c>
      <c r="Q39" s="68" t="str">
        <f t="shared" ref="Q39" si="3">AK33</f>
        <v>1</v>
      </c>
      <c r="R39" s="68" t="str">
        <f t="shared" ref="R39" si="4">AL33</f>
        <v>0</v>
      </c>
      <c r="S39" s="113" t="str">
        <f>AB33</f>
        <v>0</v>
      </c>
      <c r="T39" s="114" t="str">
        <f>T33</f>
        <v>0</v>
      </c>
      <c r="U39" s="105" t="str">
        <f t="shared" ref="U39:Z39" si="5">U33</f>
        <v>0</v>
      </c>
      <c r="V39" s="105" t="str">
        <f t="shared" si="5"/>
        <v>0</v>
      </c>
      <c r="W39" s="105" t="str">
        <f t="shared" si="5"/>
        <v>0</v>
      </c>
      <c r="X39" s="105" t="str">
        <f t="shared" si="5"/>
        <v>0</v>
      </c>
      <c r="Y39" s="105" t="str">
        <f t="shared" si="5"/>
        <v>0</v>
      </c>
      <c r="Z39" s="105" t="str">
        <f t="shared" si="5"/>
        <v>0</v>
      </c>
      <c r="AA39" s="106" t="str">
        <f>AA33</f>
        <v>0</v>
      </c>
      <c r="AB39" s="100" t="str" cm="1">
        <f t="array" ref="AB39:AF39">MID(DEC2BIN(AB38,5),_xlfn.SEQUENCE(1,5),1)</f>
        <v>0</v>
      </c>
      <c r="AC39" s="100" t="str">
        <v>0</v>
      </c>
      <c r="AD39" s="100" t="str">
        <v>1</v>
      </c>
      <c r="AE39" s="100" t="str">
        <v>0</v>
      </c>
      <c r="AF39" s="101" t="str">
        <v>0</v>
      </c>
      <c r="AG39" s="38" t="str" cm="1">
        <f t="array" ref="AG39:AM39">MID(DEC2BIN(AG38,7),_xlfn.SEQUENCE(1,7),1)</f>
        <v>1</v>
      </c>
      <c r="AH39" s="39" t="str">
        <v>1</v>
      </c>
      <c r="AI39" s="39" t="str">
        <v>0</v>
      </c>
      <c r="AJ39" s="121" t="str">
        <v>1</v>
      </c>
      <c r="AK39" s="121" t="str">
        <v>1</v>
      </c>
      <c r="AL39" s="121" t="str">
        <v>1</v>
      </c>
      <c r="AM39" s="122" t="str">
        <v>1</v>
      </c>
    </row>
    <row r="40" spans="1:40" ht="15.75" thickBot="1" x14ac:dyDescent="0.3">
      <c r="G40" s="19" t="s">
        <v>265</v>
      </c>
      <c r="H40" s="162" t="str">
        <f>BIN2HEX(H39&amp;I39&amp;J39&amp;K39,1)</f>
        <v>8</v>
      </c>
      <c r="I40" s="163"/>
      <c r="J40" s="163"/>
      <c r="K40" s="163"/>
      <c r="L40" s="162" t="str">
        <f>BIN2HEX(L39&amp;M39&amp;N39&amp;O39,1)</f>
        <v>0</v>
      </c>
      <c r="M40" s="163"/>
      <c r="N40" s="163"/>
      <c r="O40" s="163"/>
      <c r="P40" s="162" t="str">
        <f>BIN2HEX(P39&amp;Q39&amp;R39&amp;S39,1)</f>
        <v>C</v>
      </c>
      <c r="Q40" s="163"/>
      <c r="R40" s="163"/>
      <c r="S40" s="163"/>
      <c r="T40" s="162" t="str">
        <f>BIN2HEX(T39&amp;U39&amp;V39&amp;W39,1)</f>
        <v>0</v>
      </c>
      <c r="U40" s="163"/>
      <c r="V40" s="163"/>
      <c r="W40" s="163"/>
      <c r="X40" s="162" t="str">
        <f>BIN2HEX(X39&amp;Y39&amp;Z39&amp;AA39,1)</f>
        <v>0</v>
      </c>
      <c r="Y40" s="163"/>
      <c r="Z40" s="163"/>
      <c r="AA40" s="163"/>
      <c r="AB40" s="162" t="str">
        <f>BIN2HEX(AB39&amp;AC39&amp;AD39&amp;AE39,1)</f>
        <v>2</v>
      </c>
      <c r="AC40" s="163"/>
      <c r="AD40" s="163"/>
      <c r="AE40" s="163"/>
      <c r="AF40" s="162" t="str">
        <f>BIN2HEX(AF39&amp;AG39&amp;AH39&amp;AI39,1)</f>
        <v>6</v>
      </c>
      <c r="AG40" s="163"/>
      <c r="AH40" s="163"/>
      <c r="AI40" s="163"/>
      <c r="AJ40" s="164" t="str">
        <f>BIN2HEX(AJ39&amp;AK39&amp;AL39&amp;AM39,1)</f>
        <v>F</v>
      </c>
      <c r="AK40" s="165"/>
      <c r="AL40" s="165"/>
      <c r="AM40" s="166"/>
      <c r="AN40" s="31"/>
    </row>
    <row r="46" spans="1:40" ht="15.75" thickBot="1" x14ac:dyDescent="0.3"/>
    <row r="47" spans="1:40" ht="16.5" thickTop="1" x14ac:dyDescent="0.3">
      <c r="A47" s="86" t="s">
        <v>270</v>
      </c>
      <c r="B47" s="87" t="s">
        <v>268</v>
      </c>
      <c r="C47" s="193" t="s">
        <v>279</v>
      </c>
      <c r="D47" s="193"/>
      <c r="E47" s="193"/>
      <c r="F47" s="194"/>
      <c r="G47" s="3" t="s">
        <v>268</v>
      </c>
      <c r="H47" s="78" t="str" cm="1">
        <f t="array" ref="H47:AM47">MID(MyHex2Bin(C47,32),_xlfn.SEQUENCE(1,32),1)</f>
        <v>0</v>
      </c>
      <c r="I47" s="78" t="str">
        <v>0</v>
      </c>
      <c r="J47" s="78" t="str">
        <v>0</v>
      </c>
      <c r="K47" s="78" t="str">
        <v>0</v>
      </c>
      <c r="L47" s="78" t="str">
        <v>0</v>
      </c>
      <c r="M47" s="78" t="str">
        <v>0</v>
      </c>
      <c r="N47" s="78" t="str">
        <v>0</v>
      </c>
      <c r="O47" s="78" t="str">
        <v>0</v>
      </c>
      <c r="P47" s="78" t="str">
        <v>0</v>
      </c>
      <c r="Q47" s="78" t="str">
        <v>0</v>
      </c>
      <c r="R47" s="78" t="str">
        <v>0</v>
      </c>
      <c r="S47" s="78" t="str">
        <v>0</v>
      </c>
      <c r="T47" s="78" t="str">
        <v>0</v>
      </c>
      <c r="U47" s="78" t="str">
        <v>1</v>
      </c>
      <c r="V47" s="78" t="str">
        <v>0</v>
      </c>
      <c r="W47" s="78" t="str">
        <v>0</v>
      </c>
      <c r="X47" s="78" t="str">
        <v>0</v>
      </c>
      <c r="Y47" s="78" t="str">
        <v>0</v>
      </c>
      <c r="Z47" s="78" t="str">
        <v>0</v>
      </c>
      <c r="AA47" s="78" t="str">
        <v>0</v>
      </c>
      <c r="AB47" s="78" t="str">
        <v>0</v>
      </c>
      <c r="AC47" s="78" t="str">
        <v>0</v>
      </c>
      <c r="AD47" s="78" t="str">
        <v>0</v>
      </c>
      <c r="AE47" s="78" t="str">
        <v>1</v>
      </c>
      <c r="AF47" s="78" t="str">
        <v>0</v>
      </c>
      <c r="AG47" s="78" t="str">
        <v>0</v>
      </c>
      <c r="AH47" s="78" t="str">
        <v>0</v>
      </c>
      <c r="AI47" s="78" t="str">
        <v>0</v>
      </c>
      <c r="AJ47" s="78" t="str">
        <v>0</v>
      </c>
      <c r="AK47" s="78" t="str">
        <v>0</v>
      </c>
      <c r="AL47" s="78" t="str">
        <v>0</v>
      </c>
      <c r="AM47" s="82" t="str">
        <v>0</v>
      </c>
    </row>
    <row r="48" spans="1:40" ht="15.75" thickBot="1" x14ac:dyDescent="0.3">
      <c r="A48" s="88"/>
      <c r="B48" s="89" t="s">
        <v>272</v>
      </c>
      <c r="C48" s="191" cm="1">
        <f t="array" ref="C48">MyBin2Dec(_xlfn.ANCHORARRAY(H47),FALSE)</f>
        <v>262400</v>
      </c>
      <c r="D48" s="191"/>
      <c r="E48" s="191"/>
      <c r="F48" s="192"/>
      <c r="G48" s="80" t="s">
        <v>273</v>
      </c>
      <c r="O48" s="33"/>
      <c r="P48" s="33"/>
      <c r="Q48" s="33"/>
      <c r="R48" s="64" t="s">
        <v>254</v>
      </c>
      <c r="S48" s="33"/>
      <c r="T48" s="64" t="s">
        <v>280</v>
      </c>
      <c r="V48" s="84" t="s">
        <v>281</v>
      </c>
      <c r="Y48" s="31"/>
      <c r="Z48" s="85"/>
      <c r="AA48" s="79" t="str">
        <f>AA49</f>
        <v>0</v>
      </c>
      <c r="AB48" s="148" t="str">
        <f>BIN2HEX(AB49&amp;AC49&amp;AD49&amp;AE49,1)</f>
        <v>F</v>
      </c>
      <c r="AC48" s="149"/>
      <c r="AD48" s="149"/>
      <c r="AE48" s="149"/>
      <c r="AF48" s="150" t="str">
        <f>BIN2HEX(AF49&amp;AG49&amp;AH49&amp;AI49,1)</f>
        <v>E</v>
      </c>
      <c r="AG48" s="151"/>
      <c r="AH48" s="151"/>
      <c r="AI48" s="151"/>
      <c r="AJ48" s="150" t="str">
        <f>BIN2HEX(AJ49&amp;AK49&amp;AL49&amp;AM49,1)</f>
        <v>0</v>
      </c>
      <c r="AK48" s="151"/>
      <c r="AL48" s="151"/>
      <c r="AM48" s="152"/>
    </row>
    <row r="49" spans="1:40" ht="15.75" thickBot="1" x14ac:dyDescent="0.3">
      <c r="A49" s="88"/>
      <c r="B49" s="90" t="s">
        <v>275</v>
      </c>
      <c r="C49" s="91" t="s">
        <v>272</v>
      </c>
      <c r="D49" s="199" cm="1">
        <f t="array" ref="D49">MyBin2Dec(AA49:AL49) *2</f>
        <v>4064</v>
      </c>
      <c r="E49" s="199"/>
      <c r="F49" s="200"/>
      <c r="G49" t="s">
        <v>256</v>
      </c>
      <c r="O49" s="159" t="s">
        <v>196</v>
      </c>
      <c r="P49" s="160"/>
      <c r="Q49" s="161"/>
      <c r="R49" s="156" t="s">
        <v>145</v>
      </c>
      <c r="S49" s="157"/>
      <c r="T49" s="153" t="s">
        <v>167</v>
      </c>
      <c r="U49" s="154"/>
      <c r="V49" s="178" t="s">
        <v>282</v>
      </c>
      <c r="W49" s="179"/>
      <c r="X49" s="180"/>
      <c r="Y49" s="77" t="s">
        <v>258</v>
      </c>
      <c r="Z49" s="76"/>
      <c r="AA49" s="71" t="str" cm="1">
        <f t="array" ref="AA49:AM49">MID(MyHex2Bin($V$49,13),_xlfn.SEQUENCE(1,13),1)</f>
        <v>0</v>
      </c>
      <c r="AB49" s="66" t="str">
        <v>1</v>
      </c>
      <c r="AC49" s="67" t="str">
        <v>1</v>
      </c>
      <c r="AD49" s="67" t="str">
        <v>1</v>
      </c>
      <c r="AE49" s="67" t="str">
        <v>1</v>
      </c>
      <c r="AF49" s="67" t="str">
        <v>1</v>
      </c>
      <c r="AG49" s="67" t="str">
        <v>1</v>
      </c>
      <c r="AH49" s="67" t="str">
        <v>1</v>
      </c>
      <c r="AI49" s="72" t="str">
        <v>0</v>
      </c>
      <c r="AJ49" s="72" t="str">
        <v>0</v>
      </c>
      <c r="AK49" s="72" t="str">
        <v>0</v>
      </c>
      <c r="AL49" s="72" t="str">
        <v>0</v>
      </c>
      <c r="AM49" s="94" t="str">
        <v>0</v>
      </c>
    </row>
    <row r="50" spans="1:40" ht="15.75" thickTop="1" x14ac:dyDescent="0.25">
      <c r="A50" s="88"/>
      <c r="B50" s="89" t="s">
        <v>272</v>
      </c>
      <c r="C50" s="191">
        <f>C48 + D49</f>
        <v>266464</v>
      </c>
      <c r="D50" s="191"/>
      <c r="E50" s="191"/>
      <c r="F50" s="192"/>
      <c r="G50" s="65" t="s">
        <v>273</v>
      </c>
      <c r="Y50" s="48"/>
      <c r="Z50" s="81"/>
    </row>
    <row r="51" spans="1:40" ht="18.75" thickBot="1" x14ac:dyDescent="0.4">
      <c r="A51" s="92" t="s">
        <v>270</v>
      </c>
      <c r="B51" s="93" t="str">
        <f>O49</f>
        <v>bge</v>
      </c>
      <c r="C51" s="195" t="str">
        <f>"0x"&amp;DEC2HEX(C50,8)</f>
        <v>0x000410E0</v>
      </c>
      <c r="D51" s="195"/>
      <c r="E51" s="195"/>
      <c r="F51" s="196"/>
      <c r="G51" s="3" t="s">
        <v>268</v>
      </c>
      <c r="H51" s="74" t="str" cm="1">
        <f t="array" ref="H51:AM51">MID(MyHex2Bin(C51,32),_xlfn.SEQUENCE(1,32),1)</f>
        <v>0</v>
      </c>
      <c r="I51" s="74" t="str">
        <v>0</v>
      </c>
      <c r="J51" s="74" t="str">
        <v>0</v>
      </c>
      <c r="K51" s="74" t="str">
        <v>0</v>
      </c>
      <c r="L51" s="74" t="str">
        <v>0</v>
      </c>
      <c r="M51" s="74" t="str">
        <v>0</v>
      </c>
      <c r="N51" s="74" t="str">
        <v>0</v>
      </c>
      <c r="O51" s="74" t="str">
        <v>0</v>
      </c>
      <c r="P51" s="74" t="str">
        <v>0</v>
      </c>
      <c r="Q51" s="74" t="str">
        <v>0</v>
      </c>
      <c r="R51" s="74" t="str">
        <v>0</v>
      </c>
      <c r="S51" s="74" t="str">
        <v>0</v>
      </c>
      <c r="T51" s="74" t="str">
        <v>0</v>
      </c>
      <c r="U51" s="74" t="str">
        <v>1</v>
      </c>
      <c r="V51" s="74" t="str">
        <v>0</v>
      </c>
      <c r="W51" s="74" t="str">
        <v>0</v>
      </c>
      <c r="X51" s="74" t="str">
        <v>0</v>
      </c>
      <c r="Y51" s="74" t="str">
        <v>0</v>
      </c>
      <c r="Z51" s="74" t="str">
        <v>0</v>
      </c>
      <c r="AA51" s="74" t="str">
        <v>1</v>
      </c>
      <c r="AB51" s="74" t="str">
        <v>0</v>
      </c>
      <c r="AC51" s="74" t="str">
        <v>0</v>
      </c>
      <c r="AD51" s="74" t="str">
        <v>0</v>
      </c>
      <c r="AE51" s="74" t="str">
        <v>0</v>
      </c>
      <c r="AF51" s="74" t="str">
        <v>1</v>
      </c>
      <c r="AG51" s="74" t="str">
        <v>1</v>
      </c>
      <c r="AH51" s="74" t="str">
        <v>1</v>
      </c>
      <c r="AI51" s="74" t="str">
        <v>0</v>
      </c>
      <c r="AJ51" s="75" t="str">
        <v>0</v>
      </c>
      <c r="AK51" s="75" t="str">
        <v>0</v>
      </c>
      <c r="AL51" s="75" t="str">
        <v>0</v>
      </c>
      <c r="AM51" s="83" t="str">
        <v>0</v>
      </c>
    </row>
    <row r="52" spans="1:40" ht="15.75" thickTop="1" x14ac:dyDescent="0.25">
      <c r="D52" s="23" t="s">
        <v>183</v>
      </c>
      <c r="E52" s="1" t="s">
        <v>259</v>
      </c>
      <c r="H52" s="2" cm="1">
        <f t="array" ref="H52:AM52">_xlfn.SEQUENCE(1,32,31,-1)</f>
        <v>31</v>
      </c>
      <c r="I52" s="2">
        <v>30</v>
      </c>
      <c r="J52" s="2">
        <v>29</v>
      </c>
      <c r="K52" s="2">
        <v>28</v>
      </c>
      <c r="L52" s="2">
        <v>27</v>
      </c>
      <c r="M52" s="2">
        <v>26</v>
      </c>
      <c r="N52" s="2">
        <v>25</v>
      </c>
      <c r="O52" s="2">
        <v>24</v>
      </c>
      <c r="P52" s="2">
        <v>23</v>
      </c>
      <c r="Q52" s="2">
        <v>22</v>
      </c>
      <c r="R52" s="2">
        <v>21</v>
      </c>
      <c r="S52" s="2">
        <v>20</v>
      </c>
      <c r="T52" s="2">
        <v>19</v>
      </c>
      <c r="U52" s="2">
        <v>18</v>
      </c>
      <c r="V52" s="2">
        <v>17</v>
      </c>
      <c r="W52" s="2">
        <v>16</v>
      </c>
      <c r="X52" s="2">
        <v>15</v>
      </c>
      <c r="Y52" s="2">
        <v>14</v>
      </c>
      <c r="Z52" s="2">
        <v>13</v>
      </c>
      <c r="AA52" s="2">
        <v>12</v>
      </c>
      <c r="AB52" s="2">
        <v>11</v>
      </c>
      <c r="AC52" s="2">
        <v>10</v>
      </c>
      <c r="AD52" s="2">
        <v>9</v>
      </c>
      <c r="AE52" s="2">
        <v>8</v>
      </c>
      <c r="AF52" s="2">
        <v>7</v>
      </c>
      <c r="AG52" s="2">
        <v>6</v>
      </c>
      <c r="AH52" s="2">
        <v>5</v>
      </c>
      <c r="AI52" s="2">
        <v>4</v>
      </c>
      <c r="AJ52" s="2">
        <v>3</v>
      </c>
      <c r="AK52" s="2">
        <v>2</v>
      </c>
      <c r="AL52" s="2">
        <v>1</v>
      </c>
      <c r="AM52" s="2">
        <v>0</v>
      </c>
    </row>
    <row r="53" spans="1:40" ht="15.75" thickBot="1" x14ac:dyDescent="0.3">
      <c r="C53" s="1"/>
      <c r="D53" s="1"/>
      <c r="E53" s="1"/>
      <c r="H53" s="173" t="s">
        <v>283</v>
      </c>
      <c r="I53" s="173"/>
      <c r="J53" s="173"/>
      <c r="K53" s="173"/>
      <c r="L53" s="173"/>
      <c r="M53" s="173"/>
      <c r="N53" s="173"/>
      <c r="O53" s="173" t="s">
        <v>280</v>
      </c>
      <c r="P53" s="173"/>
      <c r="Q53" s="173"/>
      <c r="R53" s="173"/>
      <c r="S53" s="173"/>
      <c r="T53" s="173" t="s">
        <v>254</v>
      </c>
      <c r="U53" s="173"/>
      <c r="V53" s="173"/>
      <c r="W53" s="173"/>
      <c r="X53" s="173"/>
      <c r="Y53" s="173" t="s">
        <v>261</v>
      </c>
      <c r="Z53" s="173"/>
      <c r="AA53" s="173"/>
      <c r="AB53" s="173" t="s">
        <v>284</v>
      </c>
      <c r="AC53" s="173"/>
      <c r="AD53" s="173"/>
      <c r="AE53" s="173"/>
      <c r="AF53" s="173"/>
      <c r="AG53" s="173" t="s">
        <v>52</v>
      </c>
      <c r="AH53" s="173"/>
      <c r="AI53" s="173"/>
      <c r="AJ53" s="173"/>
      <c r="AK53" s="173"/>
      <c r="AL53" s="173"/>
      <c r="AM53" s="173"/>
    </row>
    <row r="54" spans="1:40" ht="15.75" thickBot="1" x14ac:dyDescent="0.3">
      <c r="C54" s="1"/>
      <c r="D54" s="1"/>
      <c r="E54" s="1"/>
      <c r="G54" s="19" t="s">
        <v>262</v>
      </c>
      <c r="H54" s="175" t="str">
        <f>V49 &amp; " [12, 10:5]"</f>
        <v>0xFE0 [12, 10:5]</v>
      </c>
      <c r="I54" s="176"/>
      <c r="J54" s="176"/>
      <c r="K54" s="176"/>
      <c r="L54" s="176"/>
      <c r="M54" s="176"/>
      <c r="N54" s="177"/>
      <c r="O54" s="201" t="str">
        <f>T49</f>
        <v>t3</v>
      </c>
      <c r="P54" s="202"/>
      <c r="Q54" s="202"/>
      <c r="R54" s="202"/>
      <c r="S54" s="203"/>
      <c r="T54" s="156" t="str">
        <f>R49</f>
        <v>s8</v>
      </c>
      <c r="U54" s="157"/>
      <c r="V54" s="157"/>
      <c r="W54" s="157"/>
      <c r="X54" s="158"/>
      <c r="Y54" s="159" t="str">
        <f>O49</f>
        <v>bge</v>
      </c>
      <c r="Z54" s="160"/>
      <c r="AA54" s="161"/>
      <c r="AB54" s="178" t="str">
        <f>V49 &amp; " [4:1, 11]"</f>
        <v>0xFE0 [4:1, 11]</v>
      </c>
      <c r="AC54" s="179"/>
      <c r="AD54" s="179"/>
      <c r="AE54" s="179"/>
      <c r="AF54" s="180"/>
      <c r="AG54" s="159" t="str">
        <f>O49</f>
        <v>bge</v>
      </c>
      <c r="AH54" s="160"/>
      <c r="AI54" s="160"/>
      <c r="AJ54" s="160"/>
      <c r="AK54" s="160"/>
      <c r="AL54" s="160"/>
      <c r="AM54" s="161"/>
    </row>
    <row r="55" spans="1:40" ht="15.75" thickBot="1" x14ac:dyDescent="0.3">
      <c r="C55" s="1"/>
      <c r="D55" s="1"/>
      <c r="E55" s="1"/>
      <c r="G55" s="19" t="s">
        <v>263</v>
      </c>
      <c r="H55" s="102"/>
      <c r="I55" s="110"/>
      <c r="J55" s="103"/>
      <c r="K55" s="103"/>
      <c r="L55" s="103"/>
      <c r="M55" s="103"/>
      <c r="N55" s="104"/>
      <c r="O55" s="201">
        <f>VLOOKUP(O54,TableRegisters[],2,FALSE)</f>
        <v>28</v>
      </c>
      <c r="P55" s="202"/>
      <c r="Q55" s="202"/>
      <c r="R55" s="202"/>
      <c r="S55" s="203"/>
      <c r="T55" s="156">
        <f>VLOOKUP(T54,TableRegisters[],2,FALSE)</f>
        <v>24</v>
      </c>
      <c r="U55" s="157"/>
      <c r="V55" s="157"/>
      <c r="W55" s="157"/>
      <c r="X55" s="158"/>
      <c r="Y55" s="159">
        <f>VLOOKUP(Y54,TableOpcodes[],COL_FUNCT3,FALSE)</f>
        <v>5</v>
      </c>
      <c r="Z55" s="160"/>
      <c r="AA55" s="161"/>
      <c r="AB55" s="97"/>
      <c r="AC55" s="98"/>
      <c r="AD55" s="98"/>
      <c r="AE55" s="98"/>
      <c r="AF55" s="111"/>
      <c r="AG55" s="159">
        <f>VLOOKUP(AG54,TableOpcodes[],COL_OPCODE,FALSE)</f>
        <v>99</v>
      </c>
      <c r="AH55" s="160"/>
      <c r="AI55" s="160"/>
      <c r="AJ55" s="160"/>
      <c r="AK55" s="160"/>
      <c r="AL55" s="160"/>
      <c r="AM55" s="161"/>
    </row>
    <row r="56" spans="1:40" ht="15.75" thickBot="1" x14ac:dyDescent="0.3">
      <c r="G56" s="19" t="s">
        <v>264</v>
      </c>
      <c r="H56" s="70" t="str">
        <f>AA49</f>
        <v>0</v>
      </c>
      <c r="I56" s="112" t="str">
        <f t="shared" ref="I56:N56" si="6">AC49</f>
        <v>1</v>
      </c>
      <c r="J56" s="68" t="str">
        <f t="shared" si="6"/>
        <v>1</v>
      </c>
      <c r="K56" s="68" t="str">
        <f t="shared" si="6"/>
        <v>1</v>
      </c>
      <c r="L56" s="68" t="str">
        <f t="shared" si="6"/>
        <v>1</v>
      </c>
      <c r="M56" s="68" t="str">
        <f t="shared" si="6"/>
        <v>1</v>
      </c>
      <c r="N56" s="69" t="str">
        <f t="shared" si="6"/>
        <v>1</v>
      </c>
      <c r="O56" s="61" t="str" cm="1">
        <f t="array" ref="O56:S56">MID(DEC2BIN(O55,5),_xlfn.SEQUENCE(1,5),1)</f>
        <v>1</v>
      </c>
      <c r="P56" s="62" t="str">
        <v>1</v>
      </c>
      <c r="Q56" s="62" t="str">
        <v>1</v>
      </c>
      <c r="R56" s="62" t="str">
        <v>0</v>
      </c>
      <c r="S56" s="63" t="str">
        <v>0</v>
      </c>
      <c r="T56" s="44" t="str" cm="1">
        <f t="array" ref="T56:X56">MID(DEC2BIN(T55,5),_xlfn.SEQUENCE(1,5),1)</f>
        <v>1</v>
      </c>
      <c r="U56" s="45" t="str">
        <v>1</v>
      </c>
      <c r="V56" s="45" t="str">
        <v>0</v>
      </c>
      <c r="W56" s="45" t="str">
        <v>0</v>
      </c>
      <c r="X56" s="46" t="str">
        <v>0</v>
      </c>
      <c r="Y56" s="38" t="str" cm="1">
        <f t="array" ref="Y56:AA56">MID(DEC2BIN(Y55,3),_xlfn.SEQUENCE(1,3),1)</f>
        <v>1</v>
      </c>
      <c r="Z56" s="39" t="str">
        <v>0</v>
      </c>
      <c r="AA56" s="40" t="str">
        <v>1</v>
      </c>
      <c r="AB56" s="73" t="str">
        <f>AI49</f>
        <v>0</v>
      </c>
      <c r="AC56" s="60" t="str">
        <f>AJ49</f>
        <v>0</v>
      </c>
      <c r="AD56" s="60" t="str">
        <f>AK49</f>
        <v>0</v>
      </c>
      <c r="AE56" s="60" t="str">
        <f>AL49</f>
        <v>0</v>
      </c>
      <c r="AF56" s="115" t="str">
        <f>AB49</f>
        <v>1</v>
      </c>
      <c r="AG56" s="38" t="str" cm="1">
        <f t="array" ref="AG56:AM56">MID(DEC2BIN(AG55,7),_xlfn.SEQUENCE(1,7),1)</f>
        <v>1</v>
      </c>
      <c r="AH56" s="39" t="str">
        <v>1</v>
      </c>
      <c r="AI56" s="39" t="str">
        <v>0</v>
      </c>
      <c r="AJ56" s="121" t="str">
        <v>0</v>
      </c>
      <c r="AK56" s="121" t="str">
        <v>0</v>
      </c>
      <c r="AL56" s="121" t="str">
        <v>1</v>
      </c>
      <c r="AM56" s="122" t="str">
        <v>1</v>
      </c>
    </row>
    <row r="57" spans="1:40" ht="15.75" thickBot="1" x14ac:dyDescent="0.3">
      <c r="G57" s="19" t="s">
        <v>265</v>
      </c>
      <c r="H57" s="162" t="str">
        <f>BIN2HEX(H56&amp;I56&amp;J56&amp;K56,1)</f>
        <v>7</v>
      </c>
      <c r="I57" s="163"/>
      <c r="J57" s="163"/>
      <c r="K57" s="163"/>
      <c r="L57" s="162" t="str">
        <f>BIN2HEX(L56&amp;M56&amp;N56&amp;O56,1)</f>
        <v>F</v>
      </c>
      <c r="M57" s="163"/>
      <c r="N57" s="163"/>
      <c r="O57" s="163"/>
      <c r="P57" s="162" t="str">
        <f>BIN2HEX(P56&amp;Q56&amp;R56&amp;S56,1)</f>
        <v>C</v>
      </c>
      <c r="Q57" s="163"/>
      <c r="R57" s="163"/>
      <c r="S57" s="163"/>
      <c r="T57" s="162" t="str">
        <f>BIN2HEX(T56&amp;U56&amp;V56&amp;W56,1)</f>
        <v>C</v>
      </c>
      <c r="U57" s="163"/>
      <c r="V57" s="163"/>
      <c r="W57" s="163"/>
      <c r="X57" s="162" t="str">
        <f>BIN2HEX(X56&amp;Y56&amp;Z56&amp;AA56,1)</f>
        <v>5</v>
      </c>
      <c r="Y57" s="163"/>
      <c r="Z57" s="163"/>
      <c r="AA57" s="163"/>
      <c r="AB57" s="162" t="str">
        <f>BIN2HEX(AB56&amp;AC56&amp;AD56&amp;AE56,1)</f>
        <v>0</v>
      </c>
      <c r="AC57" s="163"/>
      <c r="AD57" s="163"/>
      <c r="AE57" s="163"/>
      <c r="AF57" s="162" t="str">
        <f>BIN2HEX(AF56&amp;AG56&amp;AH56&amp;AI56,1)</f>
        <v>E</v>
      </c>
      <c r="AG57" s="163"/>
      <c r="AH57" s="163"/>
      <c r="AI57" s="163"/>
      <c r="AJ57" s="164" t="str">
        <f>BIN2HEX(AJ56&amp;AK56&amp;AL56&amp;AM56,1)</f>
        <v>3</v>
      </c>
      <c r="AK57" s="165"/>
      <c r="AL57" s="165"/>
      <c r="AM57" s="166"/>
      <c r="AN57" s="31"/>
    </row>
    <row r="66" spans="3:41" ht="15.75" thickBot="1" x14ac:dyDescent="0.3">
      <c r="G66" s="80"/>
      <c r="O66" s="33"/>
      <c r="P66" s="33"/>
      <c r="Q66" s="33"/>
      <c r="R66" s="64" t="s">
        <v>280</v>
      </c>
      <c r="S66" s="33"/>
      <c r="T66" s="64" t="s">
        <v>254</v>
      </c>
      <c r="V66" s="84" t="s">
        <v>255</v>
      </c>
      <c r="Y66" s="31"/>
      <c r="AA66" s="85"/>
      <c r="AB66" s="148" t="str">
        <f>BIN2HEX(AB67&amp;AC67&amp;AD67&amp;AE67,1)</f>
        <v>1</v>
      </c>
      <c r="AC66" s="149"/>
      <c r="AD66" s="149"/>
      <c r="AE66" s="149"/>
      <c r="AF66" s="150" t="str">
        <f>BIN2HEX(AF67&amp;AG67&amp;AH67&amp;AI67,1)</f>
        <v>5</v>
      </c>
      <c r="AG66" s="151"/>
      <c r="AH66" s="151"/>
      <c r="AI66" s="151"/>
      <c r="AJ66" s="150" t="str">
        <f>BIN2HEX(AJ67&amp;AK67&amp;AL67&amp;AM67,1)</f>
        <v>0</v>
      </c>
      <c r="AK66" s="151"/>
      <c r="AL66" s="151"/>
      <c r="AM66" s="152"/>
    </row>
    <row r="67" spans="3:41" ht="15.75" thickBot="1" x14ac:dyDescent="0.3">
      <c r="G67" t="s">
        <v>256</v>
      </c>
      <c r="O67" s="159" t="s">
        <v>112</v>
      </c>
      <c r="P67" s="160"/>
      <c r="Q67" s="161"/>
      <c r="R67" s="153" t="s">
        <v>115</v>
      </c>
      <c r="S67" s="154"/>
      <c r="T67" s="156" t="s">
        <v>167</v>
      </c>
      <c r="U67" s="157"/>
      <c r="V67" s="178" t="s">
        <v>285</v>
      </c>
      <c r="W67" s="179"/>
      <c r="X67" s="180"/>
      <c r="Y67" s="77" t="s">
        <v>258</v>
      </c>
      <c r="Z67" s="76"/>
      <c r="AA67" t="s">
        <v>268</v>
      </c>
      <c r="AB67" s="71" t="str" cm="1">
        <f t="array" ref="AB67:AM67">MID(MyHex2Bin($V$67,12),_xlfn.SEQUENCE(1,12),1)</f>
        <v>0</v>
      </c>
      <c r="AC67" s="67" t="str">
        <v>0</v>
      </c>
      <c r="AD67" s="67" t="str">
        <v>0</v>
      </c>
      <c r="AE67" s="67" t="str">
        <v>1</v>
      </c>
      <c r="AF67" s="67" t="str">
        <v>0</v>
      </c>
      <c r="AG67" s="67" t="str">
        <v>1</v>
      </c>
      <c r="AH67" s="67" t="str">
        <v>0</v>
      </c>
      <c r="AI67" s="133" t="str">
        <v>1</v>
      </c>
      <c r="AJ67" s="133" t="str">
        <v>0</v>
      </c>
      <c r="AK67" s="133" t="str">
        <v>0</v>
      </c>
      <c r="AL67" s="133" t="str">
        <v>0</v>
      </c>
      <c r="AM67" s="133" t="str">
        <v>0</v>
      </c>
    </row>
    <row r="68" spans="3:41" x14ac:dyDescent="0.25">
      <c r="G68" s="65"/>
      <c r="Y68" s="48"/>
      <c r="Z68" s="65"/>
    </row>
    <row r="69" spans="3:41" ht="20.25" thickBot="1" x14ac:dyDescent="0.35">
      <c r="D69" s="129" t="s">
        <v>107</v>
      </c>
      <c r="E69" s="1" t="s">
        <v>259</v>
      </c>
      <c r="H69" s="2" cm="1">
        <f t="array" ref="H69:AM69">_xlfn.SEQUENCE(1,32,31,-1)</f>
        <v>31</v>
      </c>
      <c r="I69" s="2">
        <v>30</v>
      </c>
      <c r="J69" s="2">
        <v>29</v>
      </c>
      <c r="K69" s="2">
        <v>28</v>
      </c>
      <c r="L69" s="2">
        <v>27</v>
      </c>
      <c r="M69" s="2">
        <v>26</v>
      </c>
      <c r="N69" s="2">
        <v>25</v>
      </c>
      <c r="O69" s="2">
        <v>24</v>
      </c>
      <c r="P69" s="2">
        <v>23</v>
      </c>
      <c r="Q69" s="2">
        <v>22</v>
      </c>
      <c r="R69" s="2">
        <v>21</v>
      </c>
      <c r="S69" s="2">
        <v>20</v>
      </c>
      <c r="T69" s="2">
        <v>19</v>
      </c>
      <c r="U69" s="2">
        <v>18</v>
      </c>
      <c r="V69" s="2">
        <v>17</v>
      </c>
      <c r="W69" s="2">
        <v>16</v>
      </c>
      <c r="X69" s="2">
        <v>15</v>
      </c>
      <c r="Y69" s="2">
        <v>14</v>
      </c>
      <c r="Z69" s="2">
        <v>13</v>
      </c>
      <c r="AA69" s="2">
        <v>12</v>
      </c>
      <c r="AB69" s="2">
        <v>11</v>
      </c>
      <c r="AC69" s="2">
        <v>10</v>
      </c>
      <c r="AD69" s="2">
        <v>9</v>
      </c>
      <c r="AE69" s="2">
        <v>8</v>
      </c>
      <c r="AF69" s="2">
        <v>7</v>
      </c>
      <c r="AG69" s="2">
        <v>6</v>
      </c>
      <c r="AH69" s="2">
        <v>5</v>
      </c>
      <c r="AI69" s="2">
        <v>4</v>
      </c>
      <c r="AJ69" s="2">
        <v>3</v>
      </c>
      <c r="AK69" s="2">
        <v>2</v>
      </c>
      <c r="AL69" s="2">
        <v>1</v>
      </c>
      <c r="AM69" s="2">
        <v>0</v>
      </c>
    </row>
    <row r="70" spans="3:41" ht="16.5" thickTop="1" thickBot="1" x14ac:dyDescent="0.3">
      <c r="C70" s="1"/>
      <c r="D70" s="1"/>
      <c r="E70" s="1"/>
      <c r="H70" s="173" t="s">
        <v>286</v>
      </c>
      <c r="I70" s="173"/>
      <c r="J70" s="173"/>
      <c r="K70" s="173"/>
      <c r="L70" s="173"/>
      <c r="M70" s="173"/>
      <c r="N70" s="173"/>
      <c r="O70" s="173" t="s">
        <v>280</v>
      </c>
      <c r="P70" s="173"/>
      <c r="Q70" s="173"/>
      <c r="R70" s="173"/>
      <c r="S70" s="173"/>
      <c r="T70" s="173" t="s">
        <v>254</v>
      </c>
      <c r="U70" s="173"/>
      <c r="V70" s="173"/>
      <c r="W70" s="173"/>
      <c r="X70" s="173"/>
      <c r="Y70" s="173" t="s">
        <v>261</v>
      </c>
      <c r="Z70" s="173"/>
      <c r="AA70" s="173"/>
      <c r="AB70" s="174" t="s">
        <v>287</v>
      </c>
      <c r="AC70" s="174"/>
      <c r="AD70" s="174"/>
      <c r="AE70" s="174"/>
      <c r="AF70" s="174"/>
      <c r="AG70" s="173" t="s">
        <v>52</v>
      </c>
      <c r="AH70" s="173"/>
      <c r="AI70" s="173"/>
      <c r="AJ70" s="173"/>
      <c r="AK70" s="173"/>
      <c r="AL70" s="173"/>
      <c r="AM70" s="173"/>
    </row>
    <row r="71" spans="3:41" ht="15.75" thickBot="1" x14ac:dyDescent="0.3">
      <c r="C71" s="1"/>
      <c r="D71" s="1"/>
      <c r="E71" s="1"/>
      <c r="G71" s="19" t="s">
        <v>262</v>
      </c>
      <c r="H71" s="175" t="str">
        <f>V67 &amp; "  [11:5]"</f>
        <v>0x150  [11:5]</v>
      </c>
      <c r="I71" s="176"/>
      <c r="J71" s="176"/>
      <c r="K71" s="176"/>
      <c r="L71" s="176"/>
      <c r="M71" s="176"/>
      <c r="N71" s="177"/>
      <c r="O71" s="153" t="str">
        <f>R67</f>
        <v>s2</v>
      </c>
      <c r="P71" s="154"/>
      <c r="Q71" s="154"/>
      <c r="R71" s="154"/>
      <c r="S71" s="155"/>
      <c r="T71" s="156" t="str">
        <f>T67</f>
        <v>t3</v>
      </c>
      <c r="U71" s="157"/>
      <c r="V71" s="157"/>
      <c r="W71" s="157"/>
      <c r="X71" s="158"/>
      <c r="Y71" s="159" t="str">
        <f>O67</f>
        <v>sh</v>
      </c>
      <c r="Z71" s="160"/>
      <c r="AA71" s="160"/>
      <c r="AB71" s="178" t="str">
        <f>V67 &amp; "  [4:0]"</f>
        <v>0x150  [4:0]</v>
      </c>
      <c r="AC71" s="179"/>
      <c r="AD71" s="179"/>
      <c r="AE71" s="179"/>
      <c r="AF71" s="180"/>
      <c r="AG71" s="160" t="str">
        <f>O67</f>
        <v>sh</v>
      </c>
      <c r="AH71" s="160"/>
      <c r="AI71" s="160"/>
      <c r="AJ71" s="160"/>
      <c r="AK71" s="160"/>
      <c r="AL71" s="160"/>
      <c r="AM71" s="161"/>
    </row>
    <row r="72" spans="3:41" ht="15.75" thickBot="1" x14ac:dyDescent="0.3">
      <c r="C72" s="1"/>
      <c r="D72" s="1"/>
      <c r="E72" s="1"/>
      <c r="G72" s="19" t="s">
        <v>263</v>
      </c>
      <c r="H72" s="102"/>
      <c r="I72" s="103"/>
      <c r="J72" s="103"/>
      <c r="K72" s="103"/>
      <c r="L72" s="103"/>
      <c r="M72" s="103"/>
      <c r="N72" s="104"/>
      <c r="O72" s="153">
        <f>VLOOKUP(O71,TableRegisters[],2,FALSE)</f>
        <v>18</v>
      </c>
      <c r="P72" s="154"/>
      <c r="Q72" s="154"/>
      <c r="R72" s="154"/>
      <c r="S72" s="155"/>
      <c r="T72" s="156">
        <f>VLOOKUP(T71,TableRegisters[],2,FALSE)</f>
        <v>28</v>
      </c>
      <c r="U72" s="157"/>
      <c r="V72" s="157"/>
      <c r="W72" s="157"/>
      <c r="X72" s="158"/>
      <c r="Y72" s="159">
        <f>VLOOKUP(Y71,TableOpcodes[],COL_FUNCT3,FALSE)</f>
        <v>1</v>
      </c>
      <c r="Z72" s="160"/>
      <c r="AA72" s="161"/>
      <c r="AB72" s="97"/>
      <c r="AC72" s="98"/>
      <c r="AD72" s="98"/>
      <c r="AE72" s="98"/>
      <c r="AF72" s="99"/>
      <c r="AG72" s="159">
        <f>VLOOKUP(AG71,TableOpcodes[],COL_OPCODE,FALSE)</f>
        <v>35</v>
      </c>
      <c r="AH72" s="160"/>
      <c r="AI72" s="160"/>
      <c r="AJ72" s="160"/>
      <c r="AK72" s="160"/>
      <c r="AL72" s="160"/>
      <c r="AM72" s="161"/>
    </row>
    <row r="73" spans="3:41" ht="15.75" thickBot="1" x14ac:dyDescent="0.3">
      <c r="G73" s="19" t="s">
        <v>264</v>
      </c>
      <c r="H73" s="70" t="str">
        <f>AB67</f>
        <v>0</v>
      </c>
      <c r="I73" s="68" t="str">
        <f t="shared" ref="I73" si="7">AC67</f>
        <v>0</v>
      </c>
      <c r="J73" s="68" t="str">
        <f t="shared" ref="J73" si="8">AD67</f>
        <v>0</v>
      </c>
      <c r="K73" s="68" t="str">
        <f t="shared" ref="K73" si="9">AE67</f>
        <v>1</v>
      </c>
      <c r="L73" s="68" t="str">
        <f t="shared" ref="L73" si="10">AF67</f>
        <v>0</v>
      </c>
      <c r="M73" s="68" t="str">
        <f t="shared" ref="M73" si="11">AG67</f>
        <v>1</v>
      </c>
      <c r="N73" s="69" t="str">
        <f t="shared" ref="N73" si="12">AH67</f>
        <v>0</v>
      </c>
      <c r="O73" s="61" t="str" cm="1">
        <f t="array" ref="O73:S73">MID(DEC2BIN(O72,5),_xlfn.SEQUENCE(1,5),1)</f>
        <v>1</v>
      </c>
      <c r="P73" s="62" t="str">
        <v>0</v>
      </c>
      <c r="Q73" s="62" t="str">
        <v>0</v>
      </c>
      <c r="R73" s="62" t="str">
        <v>1</v>
      </c>
      <c r="S73" s="63" t="str">
        <v>0</v>
      </c>
      <c r="T73" s="44" t="str" cm="1">
        <f t="array" ref="T73:X73">MID(DEC2BIN(T72,5),_xlfn.SEQUENCE(1,5),1)</f>
        <v>1</v>
      </c>
      <c r="U73" s="45" t="str">
        <v>1</v>
      </c>
      <c r="V73" s="45" t="str">
        <v>1</v>
      </c>
      <c r="W73" s="45" t="str">
        <v>0</v>
      </c>
      <c r="X73" s="46" t="str">
        <v>0</v>
      </c>
      <c r="Y73" s="38" t="str" cm="1">
        <f t="array" ref="Y73:AA73">MID(DEC2BIN(Y72,3),_xlfn.SEQUENCE(1,3),1)</f>
        <v>0</v>
      </c>
      <c r="Z73" s="39" t="str">
        <v>0</v>
      </c>
      <c r="AA73" s="40" t="str">
        <v>1</v>
      </c>
      <c r="AB73" s="130" t="str">
        <f>AI67</f>
        <v>1</v>
      </c>
      <c r="AC73" s="131" t="str">
        <f>AJ67</f>
        <v>0</v>
      </c>
      <c r="AD73" s="131" t="str">
        <f>AK67</f>
        <v>0</v>
      </c>
      <c r="AE73" s="131" t="str">
        <f>AL67</f>
        <v>0</v>
      </c>
      <c r="AF73" s="132" t="str">
        <f>AM67</f>
        <v>0</v>
      </c>
      <c r="AG73" s="38" t="str" cm="1">
        <f t="array" ref="AG73:AM73">MID(DEC2BIN(AG72,7),_xlfn.SEQUENCE(1,7),1)</f>
        <v>0</v>
      </c>
      <c r="AH73" s="39" t="str">
        <v>1</v>
      </c>
      <c r="AI73" s="39" t="str">
        <v>0</v>
      </c>
      <c r="AJ73" s="121" t="str">
        <v>0</v>
      </c>
      <c r="AK73" s="121" t="str">
        <v>0</v>
      </c>
      <c r="AL73" s="121" t="str">
        <v>1</v>
      </c>
      <c r="AM73" s="122" t="str">
        <v>1</v>
      </c>
    </row>
    <row r="74" spans="3:41" ht="15.75" thickBot="1" x14ac:dyDescent="0.3">
      <c r="G74" s="19" t="s">
        <v>265</v>
      </c>
      <c r="H74" s="162" t="str">
        <f>BIN2HEX(H73&amp;I73&amp;J73&amp;K73,1)</f>
        <v>1</v>
      </c>
      <c r="I74" s="163"/>
      <c r="J74" s="163"/>
      <c r="K74" s="163"/>
      <c r="L74" s="162" t="str">
        <f>BIN2HEX(L73&amp;M73&amp;N73&amp;O73,1)</f>
        <v>5</v>
      </c>
      <c r="M74" s="163"/>
      <c r="N74" s="163"/>
      <c r="O74" s="163"/>
      <c r="P74" s="162" t="str">
        <f>BIN2HEX(P73&amp;Q73&amp;R73&amp;S73,1)</f>
        <v>2</v>
      </c>
      <c r="Q74" s="163"/>
      <c r="R74" s="163"/>
      <c r="S74" s="163"/>
      <c r="T74" s="162" t="str">
        <f>BIN2HEX(T73&amp;U73&amp;V73&amp;W73,1)</f>
        <v>E</v>
      </c>
      <c r="U74" s="163"/>
      <c r="V74" s="163"/>
      <c r="W74" s="163"/>
      <c r="X74" s="162" t="str">
        <f>BIN2HEX(X73&amp;Y73&amp;Z73&amp;AA73,1)</f>
        <v>1</v>
      </c>
      <c r="Y74" s="163"/>
      <c r="Z74" s="163"/>
      <c r="AA74" s="163"/>
      <c r="AB74" s="162" t="str">
        <f>BIN2HEX(AB73&amp;AC73&amp;AD73&amp;AE73,1)</f>
        <v>8</v>
      </c>
      <c r="AC74" s="163"/>
      <c r="AD74" s="163"/>
      <c r="AE74" s="163"/>
      <c r="AF74" s="162" t="str">
        <f>BIN2HEX(AF73&amp;AG73&amp;AH73&amp;AI73,1)</f>
        <v>2</v>
      </c>
      <c r="AG74" s="163"/>
      <c r="AH74" s="163"/>
      <c r="AI74" s="163"/>
      <c r="AJ74" s="164" t="str">
        <f>BIN2HEX(AJ73&amp;AK73&amp;AL73&amp;AM73,1)</f>
        <v>3</v>
      </c>
      <c r="AK74" s="165"/>
      <c r="AL74" s="165"/>
      <c r="AM74" s="166"/>
    </row>
    <row r="79" spans="3:41" ht="15.75" thickBot="1" x14ac:dyDescent="0.3">
      <c r="G79" s="80"/>
      <c r="O79" s="33"/>
      <c r="P79" s="33"/>
      <c r="Q79" s="33"/>
      <c r="R79" s="64" t="s">
        <v>253</v>
      </c>
      <c r="S79" s="33"/>
      <c r="T79" s="64" t="s">
        <v>254</v>
      </c>
      <c r="V79" s="64" t="s">
        <v>280</v>
      </c>
      <c r="W79" s="33"/>
      <c r="Y79" s="48"/>
      <c r="Z79" s="48"/>
      <c r="AA79" s="48"/>
      <c r="AB79" s="48"/>
      <c r="AC79" s="48"/>
      <c r="AD79" s="48"/>
      <c r="AE79" s="48"/>
      <c r="AF79" s="48"/>
      <c r="AG79" s="48"/>
      <c r="AH79" s="48"/>
      <c r="AI79" s="48"/>
      <c r="AJ79" s="48"/>
      <c r="AK79" s="48"/>
      <c r="AL79" s="48"/>
      <c r="AM79" s="48"/>
      <c r="AN79" s="48"/>
      <c r="AO79" s="48"/>
    </row>
    <row r="80" spans="3:41" ht="15.75" thickBot="1" x14ac:dyDescent="0.3">
      <c r="G80" t="s">
        <v>256</v>
      </c>
      <c r="O80" s="159" t="s">
        <v>127</v>
      </c>
      <c r="P80" s="160"/>
      <c r="Q80" s="161"/>
      <c r="R80" s="167" t="s">
        <v>53</v>
      </c>
      <c r="S80" s="168"/>
      <c r="T80" s="156" t="s">
        <v>58</v>
      </c>
      <c r="U80" s="157"/>
      <c r="V80" s="153" t="s">
        <v>63</v>
      </c>
      <c r="W80" s="155"/>
      <c r="Y80" s="48"/>
      <c r="Z80" s="48"/>
      <c r="AA80" s="48"/>
      <c r="AB80" s="48"/>
      <c r="AC80" s="48"/>
      <c r="AD80" s="48"/>
      <c r="AE80" s="48"/>
      <c r="AF80" s="48"/>
      <c r="AG80" s="48"/>
      <c r="AH80" s="48"/>
      <c r="AI80" s="48"/>
      <c r="AJ80" s="48"/>
      <c r="AK80" s="48"/>
      <c r="AL80" s="48"/>
      <c r="AM80" s="48"/>
      <c r="AN80" s="48"/>
      <c r="AO80" s="48"/>
    </row>
    <row r="81" spans="3:41" x14ac:dyDescent="0.25">
      <c r="G81" s="65"/>
      <c r="X81" s="48"/>
      <c r="Y81" s="48"/>
      <c r="Z81" s="48"/>
      <c r="AA81" s="48"/>
      <c r="AB81" s="48"/>
      <c r="AC81" s="48"/>
      <c r="AD81" s="48"/>
      <c r="AE81" s="48"/>
      <c r="AF81" s="48"/>
      <c r="AG81" s="48"/>
      <c r="AH81" s="48"/>
      <c r="AI81" s="48"/>
      <c r="AJ81" s="48"/>
      <c r="AK81" s="48"/>
      <c r="AL81" s="48"/>
      <c r="AM81" s="48"/>
      <c r="AN81" s="48"/>
      <c r="AO81" s="48"/>
    </row>
    <row r="82" spans="3:41" ht="20.25" thickBot="1" x14ac:dyDescent="0.35">
      <c r="D82" s="129" t="s">
        <v>121</v>
      </c>
      <c r="E82" s="1" t="s">
        <v>259</v>
      </c>
      <c r="H82" s="2" cm="1">
        <f t="array" ref="H82:AM82">_xlfn.SEQUENCE(1,32,31,-1)</f>
        <v>31</v>
      </c>
      <c r="I82" s="2">
        <v>30</v>
      </c>
      <c r="J82" s="2">
        <v>29</v>
      </c>
      <c r="K82" s="2">
        <v>28</v>
      </c>
      <c r="L82" s="2">
        <v>27</v>
      </c>
      <c r="M82" s="2">
        <v>26</v>
      </c>
      <c r="N82" s="2">
        <v>25</v>
      </c>
      <c r="O82" s="2">
        <v>24</v>
      </c>
      <c r="P82" s="2">
        <v>23</v>
      </c>
      <c r="Q82" s="2">
        <v>22</v>
      </c>
      <c r="R82" s="2">
        <v>21</v>
      </c>
      <c r="S82" s="2">
        <v>20</v>
      </c>
      <c r="T82" s="2">
        <v>19</v>
      </c>
      <c r="U82" s="2">
        <v>18</v>
      </c>
      <c r="V82" s="2">
        <v>17</v>
      </c>
      <c r="W82" s="2">
        <v>16</v>
      </c>
      <c r="X82" s="2">
        <v>15</v>
      </c>
      <c r="Y82" s="2">
        <v>14</v>
      </c>
      <c r="Z82" s="2">
        <v>13</v>
      </c>
      <c r="AA82" s="2">
        <v>12</v>
      </c>
      <c r="AB82" s="2">
        <v>11</v>
      </c>
      <c r="AC82" s="2">
        <v>10</v>
      </c>
      <c r="AD82" s="2">
        <v>9</v>
      </c>
      <c r="AE82" s="2">
        <v>8</v>
      </c>
      <c r="AF82" s="2">
        <v>7</v>
      </c>
      <c r="AG82" s="2">
        <v>6</v>
      </c>
      <c r="AH82" s="2">
        <v>5</v>
      </c>
      <c r="AI82" s="2">
        <v>4</v>
      </c>
      <c r="AJ82" s="2">
        <v>3</v>
      </c>
      <c r="AK82" s="2">
        <v>2</v>
      </c>
      <c r="AL82" s="2">
        <v>1</v>
      </c>
      <c r="AM82" s="2">
        <v>0</v>
      </c>
    </row>
    <row r="83" spans="3:41" ht="16.5" thickTop="1" thickBot="1" x14ac:dyDescent="0.3">
      <c r="C83" s="1"/>
      <c r="D83" s="1"/>
      <c r="E83" s="1"/>
      <c r="H83" s="173" t="s">
        <v>288</v>
      </c>
      <c r="I83" s="173"/>
      <c r="J83" s="173"/>
      <c r="K83" s="173"/>
      <c r="L83" s="173"/>
      <c r="M83" s="173"/>
      <c r="N83" s="173"/>
      <c r="O83" s="173" t="s">
        <v>280</v>
      </c>
      <c r="P83" s="173"/>
      <c r="Q83" s="173"/>
      <c r="R83" s="173"/>
      <c r="S83" s="173"/>
      <c r="T83" s="173" t="s">
        <v>254</v>
      </c>
      <c r="U83" s="173"/>
      <c r="V83" s="173"/>
      <c r="W83" s="173"/>
      <c r="X83" s="173"/>
      <c r="Y83" s="173" t="s">
        <v>261</v>
      </c>
      <c r="Z83" s="173"/>
      <c r="AA83" s="173"/>
      <c r="AB83" s="174" t="s">
        <v>253</v>
      </c>
      <c r="AC83" s="174"/>
      <c r="AD83" s="174"/>
      <c r="AE83" s="174"/>
      <c r="AF83" s="174"/>
      <c r="AG83" s="173" t="s">
        <v>52</v>
      </c>
      <c r="AH83" s="173"/>
      <c r="AI83" s="173"/>
      <c r="AJ83" s="173"/>
      <c r="AK83" s="173"/>
      <c r="AL83" s="173"/>
      <c r="AM83" s="173"/>
    </row>
    <row r="84" spans="3:41" ht="15.75" thickBot="1" x14ac:dyDescent="0.3">
      <c r="C84" s="1"/>
      <c r="D84" s="1"/>
      <c r="E84" s="1"/>
      <c r="G84" s="19" t="s">
        <v>262</v>
      </c>
      <c r="H84" s="170" t="str">
        <f>O80</f>
        <v>sub</v>
      </c>
      <c r="I84" s="171"/>
      <c r="J84" s="171"/>
      <c r="K84" s="171"/>
      <c r="L84" s="171"/>
      <c r="M84" s="171"/>
      <c r="N84" s="172"/>
      <c r="O84" s="153" t="str">
        <f>V80</f>
        <v>t2</v>
      </c>
      <c r="P84" s="154"/>
      <c r="Q84" s="154"/>
      <c r="R84" s="154"/>
      <c r="S84" s="155"/>
      <c r="T84" s="156" t="str">
        <f>T80</f>
        <v>t1</v>
      </c>
      <c r="U84" s="157"/>
      <c r="V84" s="157"/>
      <c r="W84" s="157"/>
      <c r="X84" s="158"/>
      <c r="Y84" s="159" t="str">
        <f>O80</f>
        <v>sub</v>
      </c>
      <c r="Z84" s="160"/>
      <c r="AA84" s="160"/>
      <c r="AB84" s="167" t="str">
        <f>R80</f>
        <v>t0</v>
      </c>
      <c r="AC84" s="168"/>
      <c r="AD84" s="168"/>
      <c r="AE84" s="168"/>
      <c r="AF84" s="169"/>
      <c r="AG84" s="160" t="str">
        <f>O80</f>
        <v>sub</v>
      </c>
      <c r="AH84" s="160"/>
      <c r="AI84" s="160"/>
      <c r="AJ84" s="160"/>
      <c r="AK84" s="160"/>
      <c r="AL84" s="160"/>
      <c r="AM84" s="161"/>
    </row>
    <row r="85" spans="3:41" ht="15.75" thickBot="1" x14ac:dyDescent="0.3">
      <c r="C85" s="1"/>
      <c r="D85" s="1"/>
      <c r="E85" s="1"/>
      <c r="G85" s="19" t="s">
        <v>263</v>
      </c>
      <c r="H85" s="170" cm="1">
        <f t="array" ref="H85">VLOOKUP(AG84,TableOpcodes[],COL_FUNCT7,FALSE)</f>
        <v>32</v>
      </c>
      <c r="I85" s="171"/>
      <c r="J85" s="171"/>
      <c r="K85" s="171"/>
      <c r="L85" s="171"/>
      <c r="M85" s="171"/>
      <c r="N85" s="172"/>
      <c r="O85" s="153">
        <f>VLOOKUP(O84,TableRegisters[],2,FALSE)</f>
        <v>7</v>
      </c>
      <c r="P85" s="154"/>
      <c r="Q85" s="154"/>
      <c r="R85" s="154"/>
      <c r="S85" s="155"/>
      <c r="T85" s="156">
        <f>VLOOKUP(T84,TableRegisters[],2,FALSE)</f>
        <v>6</v>
      </c>
      <c r="U85" s="157"/>
      <c r="V85" s="157"/>
      <c r="W85" s="157"/>
      <c r="X85" s="158"/>
      <c r="Y85" s="159">
        <f>VLOOKUP(Y84,TableOpcodes[],COL_FUNCT3,FALSE)</f>
        <v>0</v>
      </c>
      <c r="Z85" s="160"/>
      <c r="AA85" s="161"/>
      <c r="AB85" s="167">
        <f>VLOOKUP(AB84,TableRegisters[],2,FALSE)</f>
        <v>5</v>
      </c>
      <c r="AC85" s="168"/>
      <c r="AD85" s="168"/>
      <c r="AE85" s="168"/>
      <c r="AF85" s="169"/>
      <c r="AG85" s="159">
        <f>VLOOKUP(AG84,TableOpcodes[],COL_OPCODE,FALSE)</f>
        <v>51</v>
      </c>
      <c r="AH85" s="160"/>
      <c r="AI85" s="160"/>
      <c r="AJ85" s="160"/>
      <c r="AK85" s="160"/>
      <c r="AL85" s="160"/>
      <c r="AM85" s="161"/>
    </row>
    <row r="86" spans="3:41" ht="15.75" thickBot="1" x14ac:dyDescent="0.3">
      <c r="G86" s="19" t="s">
        <v>264</v>
      </c>
      <c r="H86" s="138" t="str" cm="1">
        <f t="array" ref="H86:N86">MID(DEC2BIN(H85,7),_xlfn.SEQUENCE(1,7),1)</f>
        <v>0</v>
      </c>
      <c r="I86" s="139" t="str">
        <v>1</v>
      </c>
      <c r="J86" s="139" t="str">
        <v>0</v>
      </c>
      <c r="K86" s="139" t="str">
        <v>0</v>
      </c>
      <c r="L86" s="139" t="str">
        <v>0</v>
      </c>
      <c r="M86" s="139" t="str">
        <v>0</v>
      </c>
      <c r="N86" s="140" t="str">
        <v>0</v>
      </c>
      <c r="O86" s="61" t="str" cm="1">
        <f t="array" ref="O86:S86">MID(DEC2BIN(O85,5),_xlfn.SEQUENCE(1,5),1)</f>
        <v>0</v>
      </c>
      <c r="P86" s="62" t="str">
        <v>0</v>
      </c>
      <c r="Q86" s="62" t="str">
        <v>1</v>
      </c>
      <c r="R86" s="62" t="str">
        <v>1</v>
      </c>
      <c r="S86" s="63" t="str">
        <v>1</v>
      </c>
      <c r="T86" s="44" t="str" cm="1">
        <f t="array" ref="T86:X86">MID(DEC2BIN(T85,5),_xlfn.SEQUENCE(1,5),1)</f>
        <v>0</v>
      </c>
      <c r="U86" s="45" t="str">
        <v>0</v>
      </c>
      <c r="V86" s="45" t="str">
        <v>1</v>
      </c>
      <c r="W86" s="45" t="str">
        <v>1</v>
      </c>
      <c r="X86" s="46" t="str">
        <v>0</v>
      </c>
      <c r="Y86" s="38" t="str" cm="1">
        <f t="array" ref="Y86:AA86">MID(DEC2BIN(Y85,3),_xlfn.SEQUENCE(1,3),1)</f>
        <v>0</v>
      </c>
      <c r="Z86" s="39" t="str">
        <v>0</v>
      </c>
      <c r="AA86" s="40" t="str">
        <v>0</v>
      </c>
      <c r="AB86" s="134" t="str" cm="1">
        <f t="array" ref="AB86:AF86">MID(DEC2BIN(AB85,5),_xlfn.SEQUENCE(1,5),1)</f>
        <v>0</v>
      </c>
      <c r="AC86" s="135" t="str">
        <v>0</v>
      </c>
      <c r="AD86" s="135" t="str">
        <v>1</v>
      </c>
      <c r="AE86" s="135" t="str">
        <v>0</v>
      </c>
      <c r="AF86" s="136" t="str">
        <v>1</v>
      </c>
      <c r="AG86" s="38" t="str" cm="1">
        <f t="array" ref="AG86:AM86">MID(DEC2BIN(AG85,7),_xlfn.SEQUENCE(1,7),1)</f>
        <v>0</v>
      </c>
      <c r="AH86" s="39" t="str">
        <v>1</v>
      </c>
      <c r="AI86" s="39" t="str">
        <v>1</v>
      </c>
      <c r="AJ86" s="121" t="str">
        <v>0</v>
      </c>
      <c r="AK86" s="121" t="str">
        <v>0</v>
      </c>
      <c r="AL86" s="121" t="str">
        <v>1</v>
      </c>
      <c r="AM86" s="122" t="str">
        <v>1</v>
      </c>
    </row>
    <row r="87" spans="3:41" ht="15.75" thickBot="1" x14ac:dyDescent="0.3">
      <c r="G87" s="19" t="s">
        <v>265</v>
      </c>
      <c r="H87" s="162" t="str">
        <f>BIN2HEX(H86&amp;I86&amp;J86&amp;K86,1)</f>
        <v>4</v>
      </c>
      <c r="I87" s="163"/>
      <c r="J87" s="163"/>
      <c r="K87" s="163"/>
      <c r="L87" s="162" t="str">
        <f>BIN2HEX(L86&amp;M86&amp;N86&amp;O86,1)</f>
        <v>0</v>
      </c>
      <c r="M87" s="163"/>
      <c r="N87" s="163"/>
      <c r="O87" s="163"/>
      <c r="P87" s="162" t="str">
        <f>BIN2HEX(P86&amp;Q86&amp;R86&amp;S86,1)</f>
        <v>7</v>
      </c>
      <c r="Q87" s="163"/>
      <c r="R87" s="163"/>
      <c r="S87" s="163"/>
      <c r="T87" s="162" t="str">
        <f>BIN2HEX(T86&amp;U86&amp;V86&amp;W86,1)</f>
        <v>3</v>
      </c>
      <c r="U87" s="163"/>
      <c r="V87" s="163"/>
      <c r="W87" s="163"/>
      <c r="X87" s="162" t="str">
        <f>BIN2HEX(X86&amp;Y86&amp;Z86&amp;AA86,1)</f>
        <v>0</v>
      </c>
      <c r="Y87" s="163"/>
      <c r="Z87" s="163"/>
      <c r="AA87" s="163"/>
      <c r="AB87" s="162" t="str">
        <f>BIN2HEX(AB86&amp;AC86&amp;AD86&amp;AE86,1)</f>
        <v>2</v>
      </c>
      <c r="AC87" s="163"/>
      <c r="AD87" s="163"/>
      <c r="AE87" s="163"/>
      <c r="AF87" s="162" t="str">
        <f>BIN2HEX(AF86&amp;AG86&amp;AH86&amp;AI86,1)</f>
        <v>B</v>
      </c>
      <c r="AG87" s="163"/>
      <c r="AH87" s="163"/>
      <c r="AI87" s="163"/>
      <c r="AJ87" s="164" t="str">
        <f>BIN2HEX(AJ86&amp;AK86&amp;AL86&amp;AM86,1)</f>
        <v>3</v>
      </c>
      <c r="AK87" s="165"/>
      <c r="AL87" s="165"/>
      <c r="AM87" s="166"/>
    </row>
  </sheetData>
  <mergeCells count="177">
    <mergeCell ref="C51:F51"/>
    <mergeCell ref="AF48:AI48"/>
    <mergeCell ref="AJ48:AM48"/>
    <mergeCell ref="O55:S55"/>
    <mergeCell ref="H54:N54"/>
    <mergeCell ref="AB48:AE48"/>
    <mergeCell ref="AG53:AM53"/>
    <mergeCell ref="T54:X54"/>
    <mergeCell ref="Y54:AA54"/>
    <mergeCell ref="AB54:AF54"/>
    <mergeCell ref="AG54:AM54"/>
    <mergeCell ref="T49:U49"/>
    <mergeCell ref="V49:X49"/>
    <mergeCell ref="T53:X53"/>
    <mergeCell ref="H53:N53"/>
    <mergeCell ref="O53:S53"/>
    <mergeCell ref="O54:S54"/>
    <mergeCell ref="AG55:AM55"/>
    <mergeCell ref="H57:K57"/>
    <mergeCell ref="L57:O57"/>
    <mergeCell ref="P57:S57"/>
    <mergeCell ref="T57:W57"/>
    <mergeCell ref="X57:AA57"/>
    <mergeCell ref="T55:X55"/>
    <mergeCell ref="Y55:AA55"/>
    <mergeCell ref="O4:Q4"/>
    <mergeCell ref="R4:S4"/>
    <mergeCell ref="T4:U4"/>
    <mergeCell ref="V4:X4"/>
    <mergeCell ref="H7:S7"/>
    <mergeCell ref="T7:X7"/>
    <mergeCell ref="P40:S40"/>
    <mergeCell ref="T40:W40"/>
    <mergeCell ref="X40:AA40"/>
    <mergeCell ref="H23:K23"/>
    <mergeCell ref="L23:O23"/>
    <mergeCell ref="P23:S23"/>
    <mergeCell ref="T23:W23"/>
    <mergeCell ref="X23:AA23"/>
    <mergeCell ref="H20:AA20"/>
    <mergeCell ref="AJ10:AM10"/>
    <mergeCell ref="AF10:AI10"/>
    <mergeCell ref="AB10:AE10"/>
    <mergeCell ref="X10:AA10"/>
    <mergeCell ref="T10:W10"/>
    <mergeCell ref="P10:S10"/>
    <mergeCell ref="L10:O10"/>
    <mergeCell ref="H10:K10"/>
    <mergeCell ref="C50:F50"/>
    <mergeCell ref="C47:F47"/>
    <mergeCell ref="O49:Q49"/>
    <mergeCell ref="R49:S49"/>
    <mergeCell ref="C48:F48"/>
    <mergeCell ref="C33:F33"/>
    <mergeCell ref="C34:F34"/>
    <mergeCell ref="D32:F32"/>
    <mergeCell ref="O32:Q32"/>
    <mergeCell ref="R32:S32"/>
    <mergeCell ref="D49:F49"/>
    <mergeCell ref="C30:F30"/>
    <mergeCell ref="C31:F31"/>
    <mergeCell ref="L29:P29"/>
    <mergeCell ref="H40:K40"/>
    <mergeCell ref="L40:O40"/>
    <mergeCell ref="AG6:AM6"/>
    <mergeCell ref="AB7:AF7"/>
    <mergeCell ref="AG7:AM7"/>
    <mergeCell ref="H8:S8"/>
    <mergeCell ref="T8:X8"/>
    <mergeCell ref="Y8:AA8"/>
    <mergeCell ref="AB8:AF8"/>
    <mergeCell ref="AG8:AM8"/>
    <mergeCell ref="Y7:AA7"/>
    <mergeCell ref="H6:S6"/>
    <mergeCell ref="T6:X6"/>
    <mergeCell ref="Y6:AA6"/>
    <mergeCell ref="AB6:AF6"/>
    <mergeCell ref="AG38:AM38"/>
    <mergeCell ref="T32:X32"/>
    <mergeCell ref="T31:X31"/>
    <mergeCell ref="H37:AA37"/>
    <mergeCell ref="H36:AA36"/>
    <mergeCell ref="AB38:AF38"/>
    <mergeCell ref="AB36:AF36"/>
    <mergeCell ref="AG36:AM36"/>
    <mergeCell ref="AB37:AF37"/>
    <mergeCell ref="AG37:AM37"/>
    <mergeCell ref="AD16:AE16"/>
    <mergeCell ref="H19:AA19"/>
    <mergeCell ref="AB19:AF19"/>
    <mergeCell ref="AG19:AM19"/>
    <mergeCell ref="AG16:AK16"/>
    <mergeCell ref="T15:X15"/>
    <mergeCell ref="O16:Q16"/>
    <mergeCell ref="R16:S16"/>
    <mergeCell ref="T16:X16"/>
    <mergeCell ref="AB20:AF20"/>
    <mergeCell ref="AG20:AM20"/>
    <mergeCell ref="AB21:AF21"/>
    <mergeCell ref="AG21:AM21"/>
    <mergeCell ref="O67:Q67"/>
    <mergeCell ref="R67:S67"/>
    <mergeCell ref="T67:U67"/>
    <mergeCell ref="V67:X67"/>
    <mergeCell ref="AB66:AE66"/>
    <mergeCell ref="AF66:AI66"/>
    <mergeCell ref="AJ66:AM66"/>
    <mergeCell ref="AB23:AE23"/>
    <mergeCell ref="AF23:AI23"/>
    <mergeCell ref="AJ23:AM23"/>
    <mergeCell ref="AB40:AE40"/>
    <mergeCell ref="AF40:AI40"/>
    <mergeCell ref="AJ40:AM40"/>
    <mergeCell ref="AD32:AE32"/>
    <mergeCell ref="AJ32:AM32"/>
    <mergeCell ref="AB53:AF53"/>
    <mergeCell ref="Y53:AA53"/>
    <mergeCell ref="AB57:AE57"/>
    <mergeCell ref="AF57:AI57"/>
    <mergeCell ref="AJ57:AM57"/>
    <mergeCell ref="Y70:AA70"/>
    <mergeCell ref="AB70:AF70"/>
    <mergeCell ref="AG70:AM70"/>
    <mergeCell ref="H71:N71"/>
    <mergeCell ref="O71:S71"/>
    <mergeCell ref="T71:X71"/>
    <mergeCell ref="Y71:AA71"/>
    <mergeCell ref="AB71:AF71"/>
    <mergeCell ref="AG71:AM71"/>
    <mergeCell ref="H70:N70"/>
    <mergeCell ref="O70:S70"/>
    <mergeCell ref="T70:X70"/>
    <mergeCell ref="O72:S72"/>
    <mergeCell ref="T72:X72"/>
    <mergeCell ref="Y72:AA72"/>
    <mergeCell ref="AG72:AM72"/>
    <mergeCell ref="H74:K74"/>
    <mergeCell ref="L74:O74"/>
    <mergeCell ref="P74:S74"/>
    <mergeCell ref="T74:W74"/>
    <mergeCell ref="X74:AA74"/>
    <mergeCell ref="AB74:AE74"/>
    <mergeCell ref="AF74:AI74"/>
    <mergeCell ref="AJ74:AM74"/>
    <mergeCell ref="AB84:AF84"/>
    <mergeCell ref="AG84:AM84"/>
    <mergeCell ref="O80:Q80"/>
    <mergeCell ref="V80:W80"/>
    <mergeCell ref="T80:U80"/>
    <mergeCell ref="H83:N83"/>
    <mergeCell ref="O83:S83"/>
    <mergeCell ref="T83:X83"/>
    <mergeCell ref="R80:S80"/>
    <mergeCell ref="AB3:AE3"/>
    <mergeCell ref="AF3:AI3"/>
    <mergeCell ref="AJ3:AM3"/>
    <mergeCell ref="O85:S85"/>
    <mergeCell ref="T85:X85"/>
    <mergeCell ref="Y85:AA85"/>
    <mergeCell ref="AG85:AM85"/>
    <mergeCell ref="H87:K87"/>
    <mergeCell ref="L87:O87"/>
    <mergeCell ref="P87:S87"/>
    <mergeCell ref="T87:W87"/>
    <mergeCell ref="X87:AA87"/>
    <mergeCell ref="AB87:AE87"/>
    <mergeCell ref="AF87:AI87"/>
    <mergeCell ref="AJ87:AM87"/>
    <mergeCell ref="AB85:AF85"/>
    <mergeCell ref="H85:N85"/>
    <mergeCell ref="Y83:AA83"/>
    <mergeCell ref="AB83:AF83"/>
    <mergeCell ref="AG83:AM83"/>
    <mergeCell ref="H84:N84"/>
    <mergeCell ref="O84:S84"/>
    <mergeCell ref="T84:X84"/>
    <mergeCell ref="Y84:AA84"/>
  </mergeCells>
  <hyperlinks>
    <hyperlink ref="A1" location="'ASM 2 MachineCode'!A5" display="I - Type" xr:uid="{DDE0B640-96D1-476D-985C-4E3B89DEFA25}"/>
    <hyperlink ref="I1" location="'ASM 2 MachineCode'!A30" display="J - Type" xr:uid="{9561DB0E-3D11-4F79-9E63-76CFB6C67B54}"/>
    <hyperlink ref="I1:K1" location="'ASM 2 MachineCode'!A35" display="J - Type" xr:uid="{AC436F9D-E86D-4982-A2F2-F4E6FC4D7CA5}"/>
    <hyperlink ref="E1" location="'ASM 2 MachineCode'!A18" display="U - Type" xr:uid="{D6E52788-1569-42CB-88AB-0A0477E7C023}"/>
    <hyperlink ref="E1:G1" location="'ASM 2 MachineCode'!A18" display="U - Type" xr:uid="{2DD0DCA3-001D-4587-9537-B37553C98E64}"/>
    <hyperlink ref="M1" location="'ASM 2 MachineCode'!A14" display="B - Type" xr:uid="{48AD2434-25EE-4924-A3A1-64B5DEA2EC46}"/>
    <hyperlink ref="M1:O1" location="'ASM 2 MachineCode'!A52" display="B - Type" xr:uid="{E313A985-C0F5-4C16-9C1E-E58200CBD2EA}"/>
    <hyperlink ref="Q1" location="'ASM 2 MachineCode'!A65" display="S - Type" xr:uid="{006BA20F-4064-4A9C-A5B6-942FB0CAA747}"/>
    <hyperlink ref="Q1:S1" location="'ASM 2 MachineCode'!A69" display="S - Type" xr:uid="{93A91CC2-A457-415C-B34E-46FE958E1788}"/>
    <hyperlink ref="U1" location="'ASM 2 MachineCode'!A14" display="B - Type" xr:uid="{29C700C0-5707-4B9C-A37E-03139E041A8E}"/>
    <hyperlink ref="U1:W1" location="'ASM 2 MachineCode'!A82" display="R - Type" xr:uid="{CBFE6D34-3B58-4499-AC9F-D83CF4582A99}"/>
  </hyperlinks>
  <pageMargins left="0.7" right="0.7" top="0.75" bottom="0.75" header="0.3" footer="0.3"/>
  <pageSetup paperSize="9" orientation="portrait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xWindow="541" yWindow="348" count="7">
        <x14:dataValidation type="list" allowBlank="1" showInputMessage="1" showErrorMessage="1" errorTitle="Sai toán tử / Wrong operator" error="Phải thuộc khuôn dạng lệnh I._x000a_It should be I-type" xr:uid="{54444BC2-765E-43CB-857D-9C7BC00DFA18}">
          <x14:formula1>
            <xm:f>'Green Sheet'!$Q$8:$Q$23</xm:f>
          </x14:formula1>
          <xm:sqref>O4:Q4</xm:sqref>
        </x14:dataValidation>
        <x14:dataValidation type="list" allowBlank="1" showInputMessage="1" showErrorMessage="1" errorTitle="Sai toán hạng / Wrong operarand" error="Phải là 1 trong 32 thanh ghi_x000a_Should be 1 of 32 registers" xr:uid="{317C79CD-21E3-4C6D-BE75-D8BD25B9E491}">
          <x14:formula1>
            <xm:f>'Green Sheet'!$A$2:$A$33</xm:f>
          </x14:formula1>
          <xm:sqref>R4:U4 R49:U49 R32:S32 R16:S16 R67:U67 R80:W80</xm:sqref>
        </x14:dataValidation>
        <x14:dataValidation type="list" allowBlank="1" showInputMessage="1" showErrorMessage="1" errorTitle="Sai toán tử / Wrong operator" error="Phải thuộc khuôn dạng lệnh I._x000a_It should be I-type" xr:uid="{58982B7A-A9D7-4826-9F06-A1006DE0610F}">
          <x14:formula1>
            <xm:f>'Green Sheet'!$T$3:$T$8</xm:f>
          </x14:formula1>
          <xm:sqref>O49:Q49</xm:sqref>
        </x14:dataValidation>
        <x14:dataValidation type="list" allowBlank="1" showInputMessage="1" showErrorMessage="1" errorTitle="Sai toán tử / Wrong operator" error="Phải thuộc khuôn dạng lệnh I._x000a_It should be I-type" xr:uid="{332AB21D-56EB-4B29-9F9A-97B038269E57}">
          <x14:formula1>
            <xm:f>'Green Sheet'!$U$3:$U$3</xm:f>
          </x14:formula1>
          <xm:sqref>O32:Q32</xm:sqref>
        </x14:dataValidation>
        <x14:dataValidation type="list" allowBlank="1" showInputMessage="1" showErrorMessage="1" errorTitle="Sai toán tử / Wrong operator" error="Phải thuộc khuôn dạng lệnh I._x000a_It should be I-type" xr:uid="{E088DAE3-4587-4963-B6CE-DB990A9A468D}">
          <x14:formula1>
            <xm:f>'Green Sheet'!$S$3:$S$8</xm:f>
          </x14:formula1>
          <xm:sqref>O16:Q16</xm:sqref>
        </x14:dataValidation>
        <x14:dataValidation type="list" allowBlank="1" showInputMessage="1" showErrorMessage="1" errorTitle="Sai toán tử / Wrong operator" error="Phải thuộc khuôn dạng lệnh I._x000a_It should be I-type" xr:uid="{5F2E28BA-9217-4474-B187-2142312BE2C7}">
          <x14:formula1>
            <xm:f>'Green Sheet'!$R$3:$R$6</xm:f>
          </x14:formula1>
          <xm:sqref>O67:Q67</xm:sqref>
        </x14:dataValidation>
        <x14:dataValidation type="list" allowBlank="1" showInputMessage="1" showErrorMessage="1" errorTitle="Sai toán tử / Wrong operator" error="Phải thuộc khuôn dạng lệnh I._x000a_It should be I-type" xr:uid="{DF48837A-E0AC-4A77-A90F-C76E8344D0A9}">
          <x14:formula1>
            <xm:f>'Green Sheet'!$P$3:$P$17</xm:f>
          </x14:formula1>
          <xm:sqref>O80:Q80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8B9E15-D1F2-4C0D-B7BD-8CB85D774DFC}">
  <sheetPr codeName="Sheet2"/>
  <dimension ref="A2:R6"/>
  <sheetViews>
    <sheetView topLeftCell="E1" zoomScale="250" zoomScaleNormal="250" workbookViewId="0">
      <selection activeCell="I5" sqref="I5"/>
    </sheetView>
  </sheetViews>
  <sheetFormatPr defaultRowHeight="15" x14ac:dyDescent="0.25"/>
  <cols>
    <col min="2" max="2" width="13.28515625" customWidth="1"/>
    <col min="3" max="6" width="4.5703125" style="3" customWidth="1"/>
    <col min="7" max="9" width="3.140625" style="3" customWidth="1"/>
    <col min="10" max="10" width="3.42578125" style="3" customWidth="1"/>
    <col min="11" max="11" width="9.28515625" bestFit="1" customWidth="1"/>
    <col min="14" max="14" width="9.5703125" customWidth="1"/>
    <col min="15" max="15" width="9.28515625" bestFit="1" customWidth="1"/>
    <col min="16" max="16" width="10.42578125" bestFit="1" customWidth="1"/>
    <col min="17" max="17" width="2" customWidth="1"/>
    <col min="18" max="18" width="2" bestFit="1" customWidth="1"/>
  </cols>
  <sheetData>
    <row r="2" spans="1:18" x14ac:dyDescent="0.25">
      <c r="B2" s="5" t="s">
        <v>289</v>
      </c>
      <c r="C2" s="4"/>
      <c r="D2" s="4" t="s">
        <v>290</v>
      </c>
      <c r="E2" s="4"/>
      <c r="F2" s="4"/>
      <c r="G2" s="6"/>
      <c r="H2" s="6" t="s">
        <v>291</v>
      </c>
      <c r="I2" s="6"/>
      <c r="J2" s="6"/>
      <c r="K2" s="6"/>
      <c r="L2" s="6" t="s">
        <v>292</v>
      </c>
      <c r="M2" s="6"/>
      <c r="N2" s="6"/>
      <c r="O2" s="8"/>
      <c r="P2" s="8" t="s">
        <v>293</v>
      </c>
      <c r="Q2" s="8"/>
      <c r="R2" s="8"/>
    </row>
    <row r="3" spans="1:18" x14ac:dyDescent="0.25">
      <c r="A3" t="s">
        <v>294</v>
      </c>
      <c r="B3" s="5" t="s">
        <v>295</v>
      </c>
      <c r="C3" s="4" t="str" cm="1">
        <f t="array" ref="C3:F3">_xlfn.TEXTSPLIT(B3,".")</f>
        <v>255</v>
      </c>
      <c r="D3" s="4" t="str">
        <v>255</v>
      </c>
      <c r="E3" s="4" t="str">
        <v>255</v>
      </c>
      <c r="F3" s="4" t="str">
        <v>0</v>
      </c>
      <c r="G3" s="6" t="str">
        <f>DEC2HEX(C3)</f>
        <v>FF</v>
      </c>
      <c r="H3" s="6" t="str">
        <f t="shared" ref="H3" si="0">DEC2HEX(D3)</f>
        <v>FF</v>
      </c>
      <c r="I3" s="6" t="str">
        <f t="shared" ref="I3" si="1">DEC2HEX(E3)</f>
        <v>FF</v>
      </c>
      <c r="J3" s="6" t="str">
        <f t="shared" ref="J3" si="2">DEC2HEX(F3)</f>
        <v>0</v>
      </c>
      <c r="K3" s="7" t="str" cm="1">
        <f t="array" ref="K3">MyHex2Bin(G3,8)</f>
        <v>11111111</v>
      </c>
      <c r="L3" s="7" t="str" cm="1">
        <f t="array" ref="L3">MyHex2Bin(H3,8)</f>
        <v>11111111</v>
      </c>
      <c r="M3" s="7" t="str" cm="1">
        <f t="array" ref="M3">MyHex2Bin(I3,8)</f>
        <v>11111111</v>
      </c>
      <c r="N3" s="7" t="str" cm="1">
        <f t="array" ref="N3">MyHex2Bin(J3,8)</f>
        <v>00000000</v>
      </c>
      <c r="O3" s="8"/>
      <c r="P3" s="8"/>
      <c r="Q3" s="8"/>
      <c r="R3" s="8"/>
    </row>
    <row r="4" spans="1:18" x14ac:dyDescent="0.25">
      <c r="A4" t="s">
        <v>296</v>
      </c>
      <c r="B4" s="5" t="s">
        <v>297</v>
      </c>
      <c r="C4" s="4" t="str" cm="1">
        <f t="array" ref="C4:F4">_xlfn.TEXTSPLIT(B4,".")</f>
        <v>192</v>
      </c>
      <c r="D4" s="4" t="str">
        <v>168</v>
      </c>
      <c r="E4" s="4" t="str">
        <v>33</v>
      </c>
      <c r="F4" s="4" t="str">
        <v>8</v>
      </c>
      <c r="G4" s="6" t="str">
        <f>DEC2HEX(C4)</f>
        <v>C0</v>
      </c>
      <c r="H4" s="6" t="str">
        <f t="shared" ref="H4:J5" si="3">DEC2HEX(D4)</f>
        <v>A8</v>
      </c>
      <c r="I4" s="6" t="str">
        <f t="shared" si="3"/>
        <v>21</v>
      </c>
      <c r="J4" s="6" t="str">
        <f t="shared" si="3"/>
        <v>8</v>
      </c>
      <c r="K4" s="6" t="str" cm="1">
        <f t="array" ref="K4">MyHex2Bin(G4,8)</f>
        <v>11000000</v>
      </c>
      <c r="L4" s="6" t="str" cm="1">
        <f t="array" ref="L4">MyHex2Bin(H4,8)</f>
        <v>10101000</v>
      </c>
      <c r="M4" s="6" t="str" cm="1">
        <f t="array" ref="M4">MyHex2Bin(I4,8)</f>
        <v>00100001</v>
      </c>
      <c r="N4" s="6" t="str" cm="1">
        <f t="array" ref="N4">MyHex2Bin(J4,8)</f>
        <v>00001000</v>
      </c>
      <c r="O4" s="9">
        <f>_xlfn.BITAND(K4,K$3)</f>
        <v>10586304</v>
      </c>
      <c r="P4" s="9">
        <f t="shared" ref="P4:R4" si="4">_xlfn.BITAND(L4,L$3)</f>
        <v>8912896</v>
      </c>
      <c r="Q4" s="9">
        <f t="shared" si="4"/>
        <v>98945</v>
      </c>
      <c r="R4" s="9">
        <f t="shared" si="4"/>
        <v>0</v>
      </c>
    </row>
    <row r="5" spans="1:18" x14ac:dyDescent="0.25">
      <c r="A5" t="s">
        <v>298</v>
      </c>
      <c r="B5" s="5" t="s">
        <v>299</v>
      </c>
      <c r="C5" s="4" t="str" cm="1">
        <f t="array" ref="C5:F5">_xlfn.TEXTSPLIT(B5,".")</f>
        <v>192</v>
      </c>
      <c r="D5" s="4" t="str">
        <v>168</v>
      </c>
      <c r="E5" s="4" t="str">
        <v>33</v>
      </c>
      <c r="F5" s="4" t="str">
        <v>212</v>
      </c>
      <c r="G5" s="6" t="str">
        <f>DEC2HEX(C5)</f>
        <v>C0</v>
      </c>
      <c r="H5" s="6" t="str">
        <f t="shared" si="3"/>
        <v>A8</v>
      </c>
      <c r="I5" s="6" t="str">
        <f t="shared" si="3"/>
        <v>21</v>
      </c>
      <c r="J5" s="6" t="str">
        <f t="shared" si="3"/>
        <v>D4</v>
      </c>
      <c r="K5" s="6" t="str" cm="1">
        <f t="array" ref="K5">MyHex2Bin(G5,8)</f>
        <v>11000000</v>
      </c>
      <c r="L5" s="6" t="str" cm="1">
        <f t="array" ref="L5">MyHex2Bin(H5,8)</f>
        <v>10101000</v>
      </c>
      <c r="M5" s="6" t="str" cm="1">
        <f t="array" ref="M5">MyHex2Bin(I5,8)</f>
        <v>00100001</v>
      </c>
      <c r="N5" s="6" t="str" cm="1">
        <f t="array" ref="N5">MyHex2Bin(J5,8)</f>
        <v>11010100</v>
      </c>
      <c r="O5" s="9">
        <f>_xlfn.BITAND(K5,K$3)</f>
        <v>10586304</v>
      </c>
      <c r="P5" s="9">
        <f t="shared" ref="P5" si="5">_xlfn.BITAND(L5,L$3)</f>
        <v>8912896</v>
      </c>
      <c r="Q5" s="9">
        <f t="shared" ref="Q5" si="6">_xlfn.BITAND(M5,M$3)</f>
        <v>98945</v>
      </c>
      <c r="R5" s="9">
        <f t="shared" ref="R5" si="7">_xlfn.BITAND(N5,N$3)</f>
        <v>0</v>
      </c>
    </row>
    <row r="6" spans="1:18" x14ac:dyDescent="0.25">
      <c r="C6"/>
      <c r="D6"/>
      <c r="E6"/>
      <c r="F6"/>
      <c r="G6"/>
      <c r="H6"/>
      <c r="I6"/>
      <c r="J6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CD2804-884A-45D2-ACCF-901CFA93A6B7}">
  <sheetPr codeName="Sheet3"/>
  <dimension ref="A1:I6"/>
  <sheetViews>
    <sheetView zoomScale="190" zoomScaleNormal="190" workbookViewId="0">
      <selection activeCell="H1" sqref="H1"/>
    </sheetView>
  </sheetViews>
  <sheetFormatPr defaultColWidth="8" defaultRowHeight="34.5" customHeight="1" x14ac:dyDescent="0.25"/>
  <sheetData>
    <row r="1" spans="1:9" ht="34.5" customHeight="1" x14ac:dyDescent="0.5">
      <c r="A1" s="13" t="s">
        <v>300</v>
      </c>
      <c r="C1" s="9" t="s">
        <v>301</v>
      </c>
      <c r="D1" s="14" t="s">
        <v>302</v>
      </c>
      <c r="H1" s="15">
        <v>1</v>
      </c>
      <c r="I1" s="14"/>
    </row>
    <row r="2" spans="1:9" ht="34.5" customHeight="1" x14ac:dyDescent="0.45">
      <c r="B2" s="11" t="s">
        <v>303</v>
      </c>
      <c r="D2" s="12" t="s">
        <v>304</v>
      </c>
      <c r="G2" s="18">
        <v>1</v>
      </c>
      <c r="I2" s="16">
        <v>0</v>
      </c>
    </row>
    <row r="3" spans="1:9" ht="34.5" customHeight="1" x14ac:dyDescent="0.45">
      <c r="C3" s="10" t="s">
        <v>305</v>
      </c>
      <c r="H3" s="17">
        <v>0</v>
      </c>
    </row>
    <row r="4" spans="1:9" ht="34.5" customHeight="1" x14ac:dyDescent="0.55000000000000004">
      <c r="F4" s="19" t="s">
        <v>306</v>
      </c>
      <c r="G4" s="204" t="str">
        <f>I2 &amp; H3 &amp; G2 &amp; H1</f>
        <v>0011</v>
      </c>
      <c r="H4" s="204"/>
      <c r="I4" s="204"/>
    </row>
    <row r="5" spans="1:9" ht="34.5" customHeight="1" x14ac:dyDescent="0.55000000000000004">
      <c r="F5" s="20" t="s">
        <v>307</v>
      </c>
      <c r="G5" s="205" t="s">
        <v>308</v>
      </c>
      <c r="H5" s="204"/>
      <c r="I5" s="204"/>
    </row>
    <row r="6" spans="1:9" ht="34.5" customHeight="1" x14ac:dyDescent="0.55000000000000004">
      <c r="F6" s="21" t="s">
        <v>309</v>
      </c>
      <c r="G6" s="205" t="str">
        <f>TEXT(_xlfn.BITAND(G4,G5), "0000")</f>
        <v>0010</v>
      </c>
      <c r="H6" s="204"/>
      <c r="I6" s="204"/>
    </row>
  </sheetData>
  <mergeCells count="3">
    <mergeCell ref="G4:I4"/>
    <mergeCell ref="G5:I5"/>
    <mergeCell ref="G6:I6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9</vt:i4>
      </vt:variant>
    </vt:vector>
  </HeadingPairs>
  <TitlesOfParts>
    <vt:vector size="13" baseType="lpstr">
      <vt:lpstr>Green Sheet</vt:lpstr>
      <vt:lpstr>ASM 2 MachineCode</vt:lpstr>
      <vt:lpstr>network</vt:lpstr>
      <vt:lpstr>Sheet3</vt:lpstr>
      <vt:lpstr>asm_des</vt:lpstr>
      <vt:lpstr>asm_imm</vt:lpstr>
      <vt:lpstr>asm_operator</vt:lpstr>
      <vt:lpstr>asm_src</vt:lpstr>
      <vt:lpstr>COL_FUNCT3</vt:lpstr>
      <vt:lpstr>COL_FUNCT7</vt:lpstr>
      <vt:lpstr>COL_OPCODE</vt:lpstr>
      <vt:lpstr>operator</vt:lpstr>
      <vt:lpstr>rd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Nguyen Duc Tien</dc:creator>
  <cp:keywords/>
  <dc:description/>
  <cp:lastModifiedBy>Nguyen Duc Tien</cp:lastModifiedBy>
  <cp:revision/>
  <dcterms:created xsi:type="dcterms:W3CDTF">2024-09-20T00:52:41Z</dcterms:created>
  <dcterms:modified xsi:type="dcterms:W3CDTF">2024-10-18T00:46:54Z</dcterms:modified>
  <cp:category/>
  <cp:contentStatus/>
</cp:coreProperties>
</file>